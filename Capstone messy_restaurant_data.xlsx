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4.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5.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126"/>
  <workbookPr hidePivotFieldList="1" defaultThemeVersion="166925"/>
  <mc:AlternateContent xmlns:mc="http://schemas.openxmlformats.org/markup-compatibility/2006">
    <mc:Choice Requires="x15">
      <x15ac:absPath xmlns:x15ac="http://schemas.microsoft.com/office/spreadsheetml/2010/11/ac" url="C:\Users\HP\Documents\Divine's Document\Data Analyticcs and science\"/>
    </mc:Choice>
  </mc:AlternateContent>
  <xr:revisionPtr revIDLastSave="0" documentId="13_ncr:1_{40C7A8E2-469D-4F35-810B-31D77B5D38EA}" xr6:coauthVersionLast="40" xr6:coauthVersionMax="40" xr10:uidLastSave="{00000000-0000-0000-0000-000000000000}"/>
  <bookViews>
    <workbookView xWindow="0" yWindow="0" windowWidth="19200" windowHeight="6210" activeTab="10" xr2:uid="{00000000-000D-0000-FFFF-FFFF00000000}"/>
  </bookViews>
  <sheets>
    <sheet name="Capstone messy_restaurant_data" sheetId="1" r:id="rId1"/>
    <sheet name="Sheet1" sheetId="2" r:id="rId2"/>
    <sheet name="Sheet2" sheetId="3" r:id="rId3"/>
    <sheet name="Sheet3" sheetId="4" r:id="rId4"/>
    <sheet name="Sheet4" sheetId="5" r:id="rId5"/>
    <sheet name="Insight1&amp;2" sheetId="6" r:id="rId6"/>
    <sheet name="Insight3" sheetId="7" r:id="rId7"/>
    <sheet name="Insight4" sheetId="8" r:id="rId8"/>
    <sheet name="Insight5" sheetId="9" r:id="rId9"/>
    <sheet name="Insight7" sheetId="10" r:id="rId10"/>
    <sheet name="Sheet5" sheetId="11" r:id="rId11"/>
  </sheets>
  <definedNames>
    <definedName name="_xlnm._FilterDatabase" localSheetId="0" hidden="1">'Capstone messy_restaurant_data'!$E$1:$E$46</definedName>
    <definedName name="Slicer_Customer">#N/A</definedName>
    <definedName name="Slicer_Dish_Ordered">#N/A</definedName>
    <definedName name="Slicer_Restaurant">#N/A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7" i="3" l="1"/>
  <c r="L2" i="1" l="1"/>
  <c r="L2" i="7"/>
  <c r="J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2" i="1"/>
  <c r="E2" i="1" l="1"/>
</calcChain>
</file>

<file path=xl/sharedStrings.xml><?xml version="1.0" encoding="utf-8"?>
<sst xmlns="http://schemas.openxmlformats.org/spreadsheetml/2006/main" count="676" uniqueCount="68">
  <si>
    <t>Customer</t>
  </si>
  <si>
    <t>Restaurant</t>
  </si>
  <si>
    <t>Dish Ordered</t>
  </si>
  <si>
    <t>Rating</t>
  </si>
  <si>
    <t>Date of Visit</t>
  </si>
  <si>
    <t>Feedback</t>
  </si>
  <si>
    <t>Price of Dish Ordered</t>
  </si>
  <si>
    <t>Quantity</t>
  </si>
  <si>
    <t>Chris Smith</t>
  </si>
  <si>
    <t>McDonalds</t>
  </si>
  <si>
    <t>Sushi</t>
  </si>
  <si>
    <t>Good service</t>
  </si>
  <si>
    <t>Sarah Rodriguez</t>
  </si>
  <si>
    <t>Burger King</t>
  </si>
  <si>
    <t>Pasta</t>
  </si>
  <si>
    <t>No Name</t>
  </si>
  <si>
    <t>No Restaurant</t>
  </si>
  <si>
    <t>No dish ordered</t>
  </si>
  <si>
    <t>Jane Brown</t>
  </si>
  <si>
    <t>Fries</t>
  </si>
  <si>
    <t>Michael Johnson</t>
  </si>
  <si>
    <t>Emily Garcia</t>
  </si>
  <si>
    <t>Nuggets</t>
  </si>
  <si>
    <t>Sarah Williams</t>
  </si>
  <si>
    <t>Taco</t>
  </si>
  <si>
    <t>James Rodriguez</t>
  </si>
  <si>
    <t>Dominos</t>
  </si>
  <si>
    <t>Jane Martinez</t>
  </si>
  <si>
    <t>Subway</t>
  </si>
  <si>
    <t>KFC</t>
  </si>
  <si>
    <t>Salad</t>
  </si>
  <si>
    <t>Emily Miller</t>
  </si>
  <si>
    <t>James Brown</t>
  </si>
  <si>
    <t>James Jones</t>
  </si>
  <si>
    <t>James Martinez</t>
  </si>
  <si>
    <t>Alex Smith</t>
  </si>
  <si>
    <t>James Garcia</t>
  </si>
  <si>
    <t>Sandwich</t>
  </si>
  <si>
    <t>Sarah Jones</t>
  </si>
  <si>
    <t>Alex Davis</t>
  </si>
  <si>
    <t>Katie Martinez</t>
  </si>
  <si>
    <t>Katie Jones</t>
  </si>
  <si>
    <t>Burger</t>
  </si>
  <si>
    <t>Michael Williams</t>
  </si>
  <si>
    <t>Jane Miller</t>
  </si>
  <si>
    <t>Pizza</t>
  </si>
  <si>
    <t>Laura Jones</t>
  </si>
  <si>
    <t>Wrap</t>
  </si>
  <si>
    <t>Emily Johnson</t>
  </si>
  <si>
    <t>Laura Williams</t>
  </si>
  <si>
    <t>Chris Williams</t>
  </si>
  <si>
    <t>Katie Johnson</t>
  </si>
  <si>
    <t>Jane Garcia</t>
  </si>
  <si>
    <t>Sarah Miller</t>
  </si>
  <si>
    <t>Row Labels</t>
  </si>
  <si>
    <t>Grand Total</t>
  </si>
  <si>
    <t>Count of Customer</t>
  </si>
  <si>
    <t>Sum of Price of Dish Ordered</t>
  </si>
  <si>
    <t>Average of Price of Dish Ordered</t>
  </si>
  <si>
    <t>Max of Price of Dish Ordered</t>
  </si>
  <si>
    <t>Min of Price of Dish Ordered</t>
  </si>
  <si>
    <t>Sum of Quantity</t>
  </si>
  <si>
    <t>Count of Quantity</t>
  </si>
  <si>
    <t>Revenue</t>
  </si>
  <si>
    <t>Total_Revenue</t>
  </si>
  <si>
    <t>Sum of Revenue</t>
  </si>
  <si>
    <t>Jan</t>
  </si>
  <si>
    <t>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</si>
</sst>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
      <b/>
      <sz val="24"/>
      <color theme="1"/>
      <name val="Arial Rounded MT Bold"/>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9" formatCode="dd/mm/yyyy"/>
    </dxf>
    <dxf>
      <font>
        <b/>
        <i val="0"/>
        <strike val="0"/>
        <condense val="0"/>
        <extend val="0"/>
        <outline val="0"/>
        <shadow val="0"/>
        <u val="none"/>
        <vertAlign val="baseline"/>
        <sz val="11"/>
        <color rgb="FFFF0000"/>
        <name val="Calibri"/>
        <family val="2"/>
        <scheme val="minor"/>
      </font>
    </dxf>
    <dxf>
      <numFmt numFmtId="19" formatCode="dd/mm/yyyy"/>
    </dxf>
    <dxf>
      <font>
        <b/>
        <i val="0"/>
        <strike val="0"/>
        <condense val="0"/>
        <extend val="0"/>
        <outline val="0"/>
        <shadow val="0"/>
        <u val="none"/>
        <vertAlign val="baseline"/>
        <sz val="11"/>
        <color rgb="FFFF0000"/>
        <name val="Calibri"/>
        <family val="2"/>
        <scheme val="minor"/>
      </font>
    </dxf>
  </dxfs>
  <tableStyles count="0" defaultTableStyle="TableStyleMedium2" defaultPivotStyle="PivotStyleLight16"/>
  <colors>
    <mruColors>
      <color rgb="FFE23C4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messy_restaurant_data.xlsx]Sheet4!PivotTable1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multiLvlStrRef>
              <c:f>Sheet4!$A$4:$A$37</c:f>
              <c:multiLvlStrCache>
                <c:ptCount val="27"/>
                <c:lvl>
                  <c:pt idx="0">
                    <c:v>Burger</c:v>
                  </c:pt>
                  <c:pt idx="1">
                    <c:v>Fries</c:v>
                  </c:pt>
                  <c:pt idx="2">
                    <c:v>No dish ordered</c:v>
                  </c:pt>
                  <c:pt idx="3">
                    <c:v>Pasta</c:v>
                  </c:pt>
                  <c:pt idx="4">
                    <c:v>Fries</c:v>
                  </c:pt>
                  <c:pt idx="5">
                    <c:v>No dish ordered</c:v>
                  </c:pt>
                  <c:pt idx="6">
                    <c:v>Sandwich</c:v>
                  </c:pt>
                  <c:pt idx="7">
                    <c:v>Sushi</c:v>
                  </c:pt>
                  <c:pt idx="8">
                    <c:v>No dish ordered</c:v>
                  </c:pt>
                  <c:pt idx="9">
                    <c:v>Salad</c:v>
                  </c:pt>
                  <c:pt idx="10">
                    <c:v>Sandwich</c:v>
                  </c:pt>
                  <c:pt idx="11">
                    <c:v>Fries</c:v>
                  </c:pt>
                  <c:pt idx="12">
                    <c:v>No dish ordered</c:v>
                  </c:pt>
                  <c:pt idx="13">
                    <c:v>Nuggets</c:v>
                  </c:pt>
                  <c:pt idx="14">
                    <c:v>Pizza</c:v>
                  </c:pt>
                  <c:pt idx="15">
                    <c:v>Sandwich</c:v>
                  </c:pt>
                  <c:pt idx="16">
                    <c:v>Sushi</c:v>
                  </c:pt>
                  <c:pt idx="17">
                    <c:v>Taco</c:v>
                  </c:pt>
                  <c:pt idx="18">
                    <c:v>Fries</c:v>
                  </c:pt>
                  <c:pt idx="19">
                    <c:v>No dish ordered</c:v>
                  </c:pt>
                  <c:pt idx="20">
                    <c:v>Nuggets</c:v>
                  </c:pt>
                  <c:pt idx="21">
                    <c:v>Pasta</c:v>
                  </c:pt>
                  <c:pt idx="22">
                    <c:v>Wrap</c:v>
                  </c:pt>
                  <c:pt idx="23">
                    <c:v>Burger</c:v>
                  </c:pt>
                  <c:pt idx="24">
                    <c:v>Pasta</c:v>
                  </c:pt>
                  <c:pt idx="25">
                    <c:v>Sandwich</c:v>
                  </c:pt>
                  <c:pt idx="26">
                    <c:v>Sushi</c:v>
                  </c:pt>
                </c:lvl>
                <c:lvl>
                  <c:pt idx="0">
                    <c:v>Burger King</c:v>
                  </c:pt>
                  <c:pt idx="4">
                    <c:v>Dominos</c:v>
                  </c:pt>
                  <c:pt idx="8">
                    <c:v>KFC</c:v>
                  </c:pt>
                  <c:pt idx="11">
                    <c:v>McDonalds</c:v>
                  </c:pt>
                  <c:pt idx="18">
                    <c:v>No Restaurant</c:v>
                  </c:pt>
                  <c:pt idx="23">
                    <c:v>Subway</c:v>
                  </c:pt>
                </c:lvl>
              </c:multiLvlStrCache>
            </c:multiLvlStrRef>
          </c:cat>
          <c:val>
            <c:numRef>
              <c:f>Sheet4!$B$4:$B$37</c:f>
              <c:numCache>
                <c:formatCode>General</c:formatCode>
                <c:ptCount val="27"/>
                <c:pt idx="0">
                  <c:v>106</c:v>
                </c:pt>
                <c:pt idx="1">
                  <c:v>50</c:v>
                </c:pt>
                <c:pt idx="2">
                  <c:v>30</c:v>
                </c:pt>
                <c:pt idx="3">
                  <c:v>75</c:v>
                </c:pt>
                <c:pt idx="4">
                  <c:v>167</c:v>
                </c:pt>
                <c:pt idx="5">
                  <c:v>25</c:v>
                </c:pt>
                <c:pt idx="6">
                  <c:v>80</c:v>
                </c:pt>
                <c:pt idx="7">
                  <c:v>175</c:v>
                </c:pt>
                <c:pt idx="8">
                  <c:v>30</c:v>
                </c:pt>
                <c:pt idx="9">
                  <c:v>225</c:v>
                </c:pt>
                <c:pt idx="10">
                  <c:v>40</c:v>
                </c:pt>
                <c:pt idx="11">
                  <c:v>5</c:v>
                </c:pt>
                <c:pt idx="12">
                  <c:v>5</c:v>
                </c:pt>
                <c:pt idx="13">
                  <c:v>125</c:v>
                </c:pt>
                <c:pt idx="14">
                  <c:v>25</c:v>
                </c:pt>
                <c:pt idx="15">
                  <c:v>95</c:v>
                </c:pt>
                <c:pt idx="16">
                  <c:v>155</c:v>
                </c:pt>
                <c:pt idx="17">
                  <c:v>215</c:v>
                </c:pt>
                <c:pt idx="18">
                  <c:v>30</c:v>
                </c:pt>
                <c:pt idx="19">
                  <c:v>140</c:v>
                </c:pt>
                <c:pt idx="20">
                  <c:v>15</c:v>
                </c:pt>
                <c:pt idx="21">
                  <c:v>20</c:v>
                </c:pt>
                <c:pt idx="22">
                  <c:v>20</c:v>
                </c:pt>
                <c:pt idx="23">
                  <c:v>125</c:v>
                </c:pt>
                <c:pt idx="24">
                  <c:v>120</c:v>
                </c:pt>
                <c:pt idx="25">
                  <c:v>65</c:v>
                </c:pt>
                <c:pt idx="26">
                  <c:v>17</c:v>
                </c:pt>
              </c:numCache>
            </c:numRef>
          </c:val>
          <c:extLst>
            <c:ext xmlns:c16="http://schemas.microsoft.com/office/drawing/2014/chart" uri="{C3380CC4-5D6E-409C-BE32-E72D297353CC}">
              <c16:uniqueId val="{00000000-5DEE-4B4A-A769-9F623DCE6F1E}"/>
            </c:ext>
          </c:extLst>
        </c:ser>
        <c:dLbls>
          <c:showLegendKey val="0"/>
          <c:showVal val="0"/>
          <c:showCatName val="0"/>
          <c:showSerName val="0"/>
          <c:showPercent val="0"/>
          <c:showBubbleSize val="0"/>
        </c:dLbls>
        <c:gapWidth val="182"/>
        <c:axId val="52203696"/>
        <c:axId val="46948512"/>
      </c:barChart>
      <c:catAx>
        <c:axId val="52203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6948512"/>
        <c:crosses val="autoZero"/>
        <c:auto val="1"/>
        <c:lblAlgn val="ctr"/>
        <c:lblOffset val="100"/>
        <c:noMultiLvlLbl val="0"/>
      </c:catAx>
      <c:valAx>
        <c:axId val="46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220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messy_restaurant_data.xlsx]Insight1&amp;2!PivotTable1</c:name>
    <c:fmtId val="1"/>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'Insight1&amp;2'!$B$3</c:f>
              <c:strCache>
                <c:ptCount val="1"/>
                <c:pt idx="0">
                  <c:v>Total</c:v>
                </c:pt>
              </c:strCache>
            </c:strRef>
          </c:tx>
          <c:spPr>
            <a:solidFill>
              <a:schemeClr val="accent1"/>
            </a:solidFill>
            <a:ln>
              <a:noFill/>
            </a:ln>
            <a:effectLst/>
          </c:spPr>
          <c:invertIfNegative val="0"/>
          <c:cat>
            <c:strRef>
              <c:f>'Insight1&amp;2'!$A$4:$A$15</c:f>
              <c:strCache>
                <c:ptCount val="11"/>
                <c:pt idx="0">
                  <c:v>Burger</c:v>
                </c:pt>
                <c:pt idx="1">
                  <c:v>Fries</c:v>
                </c:pt>
                <c:pt idx="2">
                  <c:v>No dish ordered</c:v>
                </c:pt>
                <c:pt idx="3">
                  <c:v>Nuggets</c:v>
                </c:pt>
                <c:pt idx="4">
                  <c:v>Pasta</c:v>
                </c:pt>
                <c:pt idx="5">
                  <c:v>Pizza</c:v>
                </c:pt>
                <c:pt idx="6">
                  <c:v>Salad</c:v>
                </c:pt>
                <c:pt idx="7">
                  <c:v>Sandwich</c:v>
                </c:pt>
                <c:pt idx="8">
                  <c:v>Sushi</c:v>
                </c:pt>
                <c:pt idx="9">
                  <c:v>Taco</c:v>
                </c:pt>
                <c:pt idx="10">
                  <c:v>Wrap</c:v>
                </c:pt>
              </c:strCache>
            </c:strRef>
          </c:cat>
          <c:val>
            <c:numRef>
              <c:f>'Insight1&amp;2'!$B$4:$B$15</c:f>
              <c:numCache>
                <c:formatCode>General</c:formatCode>
                <c:ptCount val="11"/>
                <c:pt idx="0">
                  <c:v>231</c:v>
                </c:pt>
                <c:pt idx="1">
                  <c:v>252</c:v>
                </c:pt>
                <c:pt idx="2">
                  <c:v>230</c:v>
                </c:pt>
                <c:pt idx="3">
                  <c:v>140</c:v>
                </c:pt>
                <c:pt idx="4">
                  <c:v>215</c:v>
                </c:pt>
                <c:pt idx="5">
                  <c:v>25</c:v>
                </c:pt>
                <c:pt idx="6">
                  <c:v>225</c:v>
                </c:pt>
                <c:pt idx="7">
                  <c:v>280</c:v>
                </c:pt>
                <c:pt idx="8">
                  <c:v>347</c:v>
                </c:pt>
                <c:pt idx="9">
                  <c:v>215</c:v>
                </c:pt>
                <c:pt idx="10">
                  <c:v>20</c:v>
                </c:pt>
              </c:numCache>
            </c:numRef>
          </c:val>
          <c:extLst>
            <c:ext xmlns:c16="http://schemas.microsoft.com/office/drawing/2014/chart" uri="{C3380CC4-5D6E-409C-BE32-E72D297353CC}">
              <c16:uniqueId val="{00000000-E1B6-453C-8D5B-873C7C088984}"/>
            </c:ext>
          </c:extLst>
        </c:ser>
        <c:dLbls>
          <c:showLegendKey val="0"/>
          <c:showVal val="0"/>
          <c:showCatName val="0"/>
          <c:showSerName val="0"/>
          <c:showPercent val="0"/>
          <c:showBubbleSize val="0"/>
        </c:dLbls>
        <c:gapWidth val="219"/>
        <c:overlap val="-27"/>
        <c:axId val="2072620304"/>
        <c:axId val="2072702912"/>
      </c:barChart>
      <c:catAx>
        <c:axId val="2072620304"/>
        <c:scaling>
          <c:orientation val="minMax"/>
        </c:scaling>
        <c:delete val="1"/>
        <c:axPos val="b"/>
        <c:numFmt formatCode="General" sourceLinked="1"/>
        <c:majorTickMark val="none"/>
        <c:minorTickMark val="none"/>
        <c:tickLblPos val="nextTo"/>
        <c:crossAx val="2072702912"/>
        <c:crosses val="autoZero"/>
        <c:auto val="1"/>
        <c:lblAlgn val="ctr"/>
        <c:lblOffset val="100"/>
        <c:noMultiLvlLbl val="0"/>
      </c:catAx>
      <c:valAx>
        <c:axId val="2072702912"/>
        <c:scaling>
          <c:orientation val="minMax"/>
        </c:scaling>
        <c:delete val="1"/>
        <c:axPos val="l"/>
        <c:numFmt formatCode="General" sourceLinked="1"/>
        <c:majorTickMark val="none"/>
        <c:minorTickMark val="none"/>
        <c:tickLblPos val="nextTo"/>
        <c:crossAx val="2072620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messy_restaurant_data.xlsx]Insight3!PivotTable1</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Insight3!$B$3</c:f>
              <c:strCache>
                <c:ptCount val="1"/>
                <c:pt idx="0">
                  <c:v>Total</c:v>
                </c:pt>
              </c:strCache>
            </c:strRef>
          </c:tx>
          <c:spPr>
            <a:solidFill>
              <a:schemeClr val="accent1"/>
            </a:solidFill>
            <a:ln>
              <a:noFill/>
            </a:ln>
            <a:effectLst/>
          </c:spPr>
          <c:invertIfNegative val="0"/>
          <c:cat>
            <c:strRef>
              <c:f>Insight3!$A$4:$A$32</c:f>
              <c:strCache>
                <c:ptCount val="28"/>
                <c:pt idx="0">
                  <c:v>Alex Davis</c:v>
                </c:pt>
                <c:pt idx="1">
                  <c:v>Alex Smith</c:v>
                </c:pt>
                <c:pt idx="2">
                  <c:v>Chris Smith</c:v>
                </c:pt>
                <c:pt idx="3">
                  <c:v>Chris Williams</c:v>
                </c:pt>
                <c:pt idx="4">
                  <c:v>Emily Garcia</c:v>
                </c:pt>
                <c:pt idx="5">
                  <c:v>Emily Johnson</c:v>
                </c:pt>
                <c:pt idx="6">
                  <c:v>Emily Miller</c:v>
                </c:pt>
                <c:pt idx="7">
                  <c:v>James Brown</c:v>
                </c:pt>
                <c:pt idx="8">
                  <c:v>James Garcia</c:v>
                </c:pt>
                <c:pt idx="9">
                  <c:v>James Jones</c:v>
                </c:pt>
                <c:pt idx="10">
                  <c:v>James Martinez</c:v>
                </c:pt>
                <c:pt idx="11">
                  <c:v>James Rodriguez</c:v>
                </c:pt>
                <c:pt idx="12">
                  <c:v>Jane Brown</c:v>
                </c:pt>
                <c:pt idx="13">
                  <c:v>Jane Garcia</c:v>
                </c:pt>
                <c:pt idx="14">
                  <c:v>Jane Martinez</c:v>
                </c:pt>
                <c:pt idx="15">
                  <c:v>Jane Miller</c:v>
                </c:pt>
                <c:pt idx="16">
                  <c:v>Katie Johnson</c:v>
                </c:pt>
                <c:pt idx="17">
                  <c:v>Katie Jones</c:v>
                </c:pt>
                <c:pt idx="18">
                  <c:v>Katie Martinez</c:v>
                </c:pt>
                <c:pt idx="19">
                  <c:v>Laura Jones</c:v>
                </c:pt>
                <c:pt idx="20">
                  <c:v>Laura Williams</c:v>
                </c:pt>
                <c:pt idx="21">
                  <c:v>Michael Johnson</c:v>
                </c:pt>
                <c:pt idx="22">
                  <c:v>Michael Williams</c:v>
                </c:pt>
                <c:pt idx="23">
                  <c:v>No Name</c:v>
                </c:pt>
                <c:pt idx="24">
                  <c:v>Sarah Jones</c:v>
                </c:pt>
                <c:pt idx="25">
                  <c:v>Sarah Miller</c:v>
                </c:pt>
                <c:pt idx="26">
                  <c:v>Sarah Rodriguez</c:v>
                </c:pt>
                <c:pt idx="27">
                  <c:v>Sarah Williams</c:v>
                </c:pt>
              </c:strCache>
            </c:strRef>
          </c:cat>
          <c:val>
            <c:numRef>
              <c:f>Insight3!$B$4:$B$32</c:f>
              <c:numCache>
                <c:formatCode>General</c:formatCode>
                <c:ptCount val="28"/>
                <c:pt idx="0">
                  <c:v>15</c:v>
                </c:pt>
                <c:pt idx="1">
                  <c:v>125</c:v>
                </c:pt>
                <c:pt idx="2">
                  <c:v>20</c:v>
                </c:pt>
                <c:pt idx="3">
                  <c:v>80</c:v>
                </c:pt>
                <c:pt idx="4">
                  <c:v>140</c:v>
                </c:pt>
                <c:pt idx="5">
                  <c:v>40</c:v>
                </c:pt>
                <c:pt idx="6">
                  <c:v>125</c:v>
                </c:pt>
                <c:pt idx="7">
                  <c:v>190</c:v>
                </c:pt>
                <c:pt idx="8">
                  <c:v>30</c:v>
                </c:pt>
                <c:pt idx="9">
                  <c:v>30</c:v>
                </c:pt>
                <c:pt idx="10">
                  <c:v>60</c:v>
                </c:pt>
                <c:pt idx="11">
                  <c:v>175</c:v>
                </c:pt>
                <c:pt idx="12">
                  <c:v>20</c:v>
                </c:pt>
                <c:pt idx="13">
                  <c:v>125</c:v>
                </c:pt>
                <c:pt idx="14">
                  <c:v>100</c:v>
                </c:pt>
                <c:pt idx="15">
                  <c:v>25</c:v>
                </c:pt>
                <c:pt idx="16">
                  <c:v>20</c:v>
                </c:pt>
                <c:pt idx="17">
                  <c:v>65</c:v>
                </c:pt>
                <c:pt idx="18">
                  <c:v>17</c:v>
                </c:pt>
                <c:pt idx="19">
                  <c:v>50</c:v>
                </c:pt>
                <c:pt idx="20">
                  <c:v>20</c:v>
                </c:pt>
                <c:pt idx="21">
                  <c:v>5</c:v>
                </c:pt>
                <c:pt idx="22">
                  <c:v>10</c:v>
                </c:pt>
                <c:pt idx="23">
                  <c:v>453</c:v>
                </c:pt>
                <c:pt idx="24">
                  <c:v>50</c:v>
                </c:pt>
                <c:pt idx="25">
                  <c:v>25</c:v>
                </c:pt>
                <c:pt idx="26">
                  <c:v>75</c:v>
                </c:pt>
                <c:pt idx="27">
                  <c:v>90</c:v>
                </c:pt>
              </c:numCache>
            </c:numRef>
          </c:val>
          <c:extLst>
            <c:ext xmlns:c16="http://schemas.microsoft.com/office/drawing/2014/chart" uri="{C3380CC4-5D6E-409C-BE32-E72D297353CC}">
              <c16:uniqueId val="{00000000-5E38-4CC6-A760-21EC53378676}"/>
            </c:ext>
          </c:extLst>
        </c:ser>
        <c:dLbls>
          <c:showLegendKey val="0"/>
          <c:showVal val="0"/>
          <c:showCatName val="0"/>
          <c:showSerName val="0"/>
          <c:showPercent val="0"/>
          <c:showBubbleSize val="0"/>
        </c:dLbls>
        <c:gapWidth val="182"/>
        <c:axId val="2070931840"/>
        <c:axId val="2072714976"/>
      </c:barChart>
      <c:catAx>
        <c:axId val="2070931840"/>
        <c:scaling>
          <c:orientation val="minMax"/>
        </c:scaling>
        <c:delete val="1"/>
        <c:axPos val="l"/>
        <c:numFmt formatCode="General" sourceLinked="1"/>
        <c:majorTickMark val="none"/>
        <c:minorTickMark val="none"/>
        <c:tickLblPos val="nextTo"/>
        <c:crossAx val="2072714976"/>
        <c:crosses val="autoZero"/>
        <c:auto val="1"/>
        <c:lblAlgn val="ctr"/>
        <c:lblOffset val="100"/>
        <c:noMultiLvlLbl val="0"/>
      </c:catAx>
      <c:valAx>
        <c:axId val="2072714976"/>
        <c:scaling>
          <c:orientation val="minMax"/>
        </c:scaling>
        <c:delete val="1"/>
        <c:axPos val="b"/>
        <c:numFmt formatCode="General" sourceLinked="1"/>
        <c:majorTickMark val="none"/>
        <c:minorTickMark val="none"/>
        <c:tickLblPos val="nextTo"/>
        <c:crossAx val="2070931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messy_restaurant_data.xlsx]Insight4!PivotTable1</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Insight4!$B$3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C6-494D-B765-7D70AE69E8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C6-494D-B765-7D70AE69E8CC}"/>
              </c:ext>
            </c:extLst>
          </c:dPt>
          <c:cat>
            <c:strRef>
              <c:f>Insight4!$A$4:$A$6</c:f>
              <c:strCache>
                <c:ptCount val="2"/>
                <c:pt idx="0">
                  <c:v>Jan</c:v>
                </c:pt>
                <c:pt idx="1">
                  <c:v>Feb</c:v>
                </c:pt>
              </c:strCache>
            </c:strRef>
          </c:cat>
          <c:val>
            <c:numRef>
              <c:f>Insight4!$B$4:$B$6</c:f>
              <c:numCache>
                <c:formatCode>General</c:formatCode>
                <c:ptCount val="2"/>
                <c:pt idx="0">
                  <c:v>1740</c:v>
                </c:pt>
                <c:pt idx="1">
                  <c:v>440</c:v>
                </c:pt>
              </c:numCache>
            </c:numRef>
          </c:val>
          <c:extLst>
            <c:ext xmlns:c16="http://schemas.microsoft.com/office/drawing/2014/chart" uri="{C3380CC4-5D6E-409C-BE32-E72D297353CC}">
              <c16:uniqueId val="{00000004-43C6-494D-B765-7D70AE69E8C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messy_restaurant_data.xlsx]Insight5!PivotTable1</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Insight5!$B$3</c:f>
              <c:strCache>
                <c:ptCount val="1"/>
                <c:pt idx="0">
                  <c:v>Total</c:v>
                </c:pt>
              </c:strCache>
            </c:strRef>
          </c:tx>
          <c:spPr>
            <a:solidFill>
              <a:schemeClr val="accent1"/>
            </a:solidFill>
            <a:ln>
              <a:noFill/>
            </a:ln>
            <a:effectLst/>
          </c:spPr>
          <c:invertIfNegative val="0"/>
          <c:cat>
            <c:strRef>
              <c:f>Insight5!$A$4:$A$10</c:f>
              <c:strCache>
                <c:ptCount val="6"/>
                <c:pt idx="0">
                  <c:v>Burger King</c:v>
                </c:pt>
                <c:pt idx="1">
                  <c:v>Dominos</c:v>
                </c:pt>
                <c:pt idx="2">
                  <c:v>KFC</c:v>
                </c:pt>
                <c:pt idx="3">
                  <c:v>McDonalds</c:v>
                </c:pt>
                <c:pt idx="4">
                  <c:v>No Restaurant</c:v>
                </c:pt>
                <c:pt idx="5">
                  <c:v>Subway</c:v>
                </c:pt>
              </c:strCache>
            </c:strRef>
          </c:cat>
          <c:val>
            <c:numRef>
              <c:f>Insight5!$B$4:$B$10</c:f>
              <c:numCache>
                <c:formatCode>General</c:formatCode>
                <c:ptCount val="6"/>
                <c:pt idx="0">
                  <c:v>261</c:v>
                </c:pt>
                <c:pt idx="1">
                  <c:v>447</c:v>
                </c:pt>
                <c:pt idx="2">
                  <c:v>295</c:v>
                </c:pt>
                <c:pt idx="3">
                  <c:v>625</c:v>
                </c:pt>
                <c:pt idx="4">
                  <c:v>225</c:v>
                </c:pt>
                <c:pt idx="5">
                  <c:v>327</c:v>
                </c:pt>
              </c:numCache>
            </c:numRef>
          </c:val>
          <c:extLst>
            <c:ext xmlns:c16="http://schemas.microsoft.com/office/drawing/2014/chart" uri="{C3380CC4-5D6E-409C-BE32-E72D297353CC}">
              <c16:uniqueId val="{00000000-DA09-4E3E-BDD7-751D93268177}"/>
            </c:ext>
          </c:extLst>
        </c:ser>
        <c:dLbls>
          <c:showLegendKey val="0"/>
          <c:showVal val="0"/>
          <c:showCatName val="0"/>
          <c:showSerName val="0"/>
          <c:showPercent val="0"/>
          <c:showBubbleSize val="0"/>
        </c:dLbls>
        <c:gapWidth val="219"/>
        <c:overlap val="-27"/>
        <c:axId val="2070928240"/>
        <c:axId val="46951424"/>
      </c:barChart>
      <c:catAx>
        <c:axId val="2070928240"/>
        <c:scaling>
          <c:orientation val="minMax"/>
        </c:scaling>
        <c:delete val="1"/>
        <c:axPos val="b"/>
        <c:numFmt formatCode="General" sourceLinked="1"/>
        <c:majorTickMark val="none"/>
        <c:minorTickMark val="none"/>
        <c:tickLblPos val="nextTo"/>
        <c:crossAx val="46951424"/>
        <c:crosses val="autoZero"/>
        <c:auto val="1"/>
        <c:lblAlgn val="ctr"/>
        <c:lblOffset val="100"/>
        <c:noMultiLvlLbl val="0"/>
      </c:catAx>
      <c:valAx>
        <c:axId val="46951424"/>
        <c:scaling>
          <c:orientation val="minMax"/>
        </c:scaling>
        <c:delete val="1"/>
        <c:axPos val="l"/>
        <c:numFmt formatCode="General" sourceLinked="1"/>
        <c:majorTickMark val="none"/>
        <c:minorTickMark val="none"/>
        <c:tickLblPos val="nextTo"/>
        <c:crossAx val="2070928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messy_restaurant_data.xlsx]Insight7!PivotTable1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Insight7!$B$3</c:f>
              <c:strCache>
                <c:ptCount val="1"/>
                <c:pt idx="0">
                  <c:v>Total</c:v>
                </c:pt>
              </c:strCache>
            </c:strRef>
          </c:tx>
          <c:spPr>
            <a:solidFill>
              <a:schemeClr val="accent1"/>
            </a:solidFill>
            <a:ln>
              <a:noFill/>
            </a:ln>
            <a:effectLst/>
          </c:spPr>
          <c:invertIfNegative val="0"/>
          <c:cat>
            <c:multiLvlStrRef>
              <c:f>Insight7!$A$4:$A$37</c:f>
              <c:multiLvlStrCache>
                <c:ptCount val="27"/>
                <c:lvl>
                  <c:pt idx="0">
                    <c:v>Burger</c:v>
                  </c:pt>
                  <c:pt idx="1">
                    <c:v>Fries</c:v>
                  </c:pt>
                  <c:pt idx="2">
                    <c:v>No dish ordered</c:v>
                  </c:pt>
                  <c:pt idx="3">
                    <c:v>Pasta</c:v>
                  </c:pt>
                  <c:pt idx="4">
                    <c:v>Fries</c:v>
                  </c:pt>
                  <c:pt idx="5">
                    <c:v>No dish ordered</c:v>
                  </c:pt>
                  <c:pt idx="6">
                    <c:v>Sandwich</c:v>
                  </c:pt>
                  <c:pt idx="7">
                    <c:v>Sushi</c:v>
                  </c:pt>
                  <c:pt idx="8">
                    <c:v>No dish ordered</c:v>
                  </c:pt>
                  <c:pt idx="9">
                    <c:v>Salad</c:v>
                  </c:pt>
                  <c:pt idx="10">
                    <c:v>Sandwich</c:v>
                  </c:pt>
                  <c:pt idx="11">
                    <c:v>Fries</c:v>
                  </c:pt>
                  <c:pt idx="12">
                    <c:v>No dish ordered</c:v>
                  </c:pt>
                  <c:pt idx="13">
                    <c:v>Nuggets</c:v>
                  </c:pt>
                  <c:pt idx="14">
                    <c:v>Pizza</c:v>
                  </c:pt>
                  <c:pt idx="15">
                    <c:v>Sandwich</c:v>
                  </c:pt>
                  <c:pt idx="16">
                    <c:v>Sushi</c:v>
                  </c:pt>
                  <c:pt idx="17">
                    <c:v>Taco</c:v>
                  </c:pt>
                  <c:pt idx="18">
                    <c:v>Fries</c:v>
                  </c:pt>
                  <c:pt idx="19">
                    <c:v>No dish ordered</c:v>
                  </c:pt>
                  <c:pt idx="20">
                    <c:v>Nuggets</c:v>
                  </c:pt>
                  <c:pt idx="21">
                    <c:v>Pasta</c:v>
                  </c:pt>
                  <c:pt idx="22">
                    <c:v>Wrap</c:v>
                  </c:pt>
                  <c:pt idx="23">
                    <c:v>Burger</c:v>
                  </c:pt>
                  <c:pt idx="24">
                    <c:v>Pasta</c:v>
                  </c:pt>
                  <c:pt idx="25">
                    <c:v>Sandwich</c:v>
                  </c:pt>
                  <c:pt idx="26">
                    <c:v>Sushi</c:v>
                  </c:pt>
                </c:lvl>
                <c:lvl>
                  <c:pt idx="0">
                    <c:v>Burger King</c:v>
                  </c:pt>
                  <c:pt idx="4">
                    <c:v>Dominos</c:v>
                  </c:pt>
                  <c:pt idx="8">
                    <c:v>KFC</c:v>
                  </c:pt>
                  <c:pt idx="11">
                    <c:v>McDonalds</c:v>
                  </c:pt>
                  <c:pt idx="18">
                    <c:v>No Restaurant</c:v>
                  </c:pt>
                  <c:pt idx="23">
                    <c:v>Subway</c:v>
                  </c:pt>
                </c:lvl>
              </c:multiLvlStrCache>
            </c:multiLvlStrRef>
          </c:cat>
          <c:val>
            <c:numRef>
              <c:f>Insight7!$B$4:$B$37</c:f>
              <c:numCache>
                <c:formatCode>General</c:formatCode>
                <c:ptCount val="27"/>
                <c:pt idx="0">
                  <c:v>106</c:v>
                </c:pt>
                <c:pt idx="1">
                  <c:v>50</c:v>
                </c:pt>
                <c:pt idx="2">
                  <c:v>30</c:v>
                </c:pt>
                <c:pt idx="3">
                  <c:v>75</c:v>
                </c:pt>
                <c:pt idx="4">
                  <c:v>167</c:v>
                </c:pt>
                <c:pt idx="5">
                  <c:v>25</c:v>
                </c:pt>
                <c:pt idx="6">
                  <c:v>80</c:v>
                </c:pt>
                <c:pt idx="7">
                  <c:v>175</c:v>
                </c:pt>
                <c:pt idx="8">
                  <c:v>30</c:v>
                </c:pt>
                <c:pt idx="9">
                  <c:v>225</c:v>
                </c:pt>
                <c:pt idx="10">
                  <c:v>40</c:v>
                </c:pt>
                <c:pt idx="11">
                  <c:v>5</c:v>
                </c:pt>
                <c:pt idx="12">
                  <c:v>5</c:v>
                </c:pt>
                <c:pt idx="13">
                  <c:v>125</c:v>
                </c:pt>
                <c:pt idx="14">
                  <c:v>25</c:v>
                </c:pt>
                <c:pt idx="15">
                  <c:v>95</c:v>
                </c:pt>
                <c:pt idx="16">
                  <c:v>155</c:v>
                </c:pt>
                <c:pt idx="17">
                  <c:v>215</c:v>
                </c:pt>
                <c:pt idx="18">
                  <c:v>30</c:v>
                </c:pt>
                <c:pt idx="19">
                  <c:v>140</c:v>
                </c:pt>
                <c:pt idx="20">
                  <c:v>15</c:v>
                </c:pt>
                <c:pt idx="21">
                  <c:v>20</c:v>
                </c:pt>
                <c:pt idx="22">
                  <c:v>20</c:v>
                </c:pt>
                <c:pt idx="23">
                  <c:v>125</c:v>
                </c:pt>
                <c:pt idx="24">
                  <c:v>120</c:v>
                </c:pt>
                <c:pt idx="25">
                  <c:v>65</c:v>
                </c:pt>
                <c:pt idx="26">
                  <c:v>17</c:v>
                </c:pt>
              </c:numCache>
            </c:numRef>
          </c:val>
          <c:extLst>
            <c:ext xmlns:c16="http://schemas.microsoft.com/office/drawing/2014/chart" uri="{C3380CC4-5D6E-409C-BE32-E72D297353CC}">
              <c16:uniqueId val="{00000000-5CA8-43E2-8F4D-56B6A1427D8B}"/>
            </c:ext>
          </c:extLst>
        </c:ser>
        <c:dLbls>
          <c:showLegendKey val="0"/>
          <c:showVal val="0"/>
          <c:showCatName val="0"/>
          <c:showSerName val="0"/>
          <c:showPercent val="0"/>
          <c:showBubbleSize val="0"/>
        </c:dLbls>
        <c:gapWidth val="182"/>
        <c:axId val="52203696"/>
        <c:axId val="46948512"/>
      </c:barChart>
      <c:catAx>
        <c:axId val="52203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6948512"/>
        <c:crosses val="autoZero"/>
        <c:auto val="1"/>
        <c:lblAlgn val="ctr"/>
        <c:lblOffset val="100"/>
        <c:noMultiLvlLbl val="0"/>
      </c:catAx>
      <c:valAx>
        <c:axId val="46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220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messy_restaurant_data.xlsx]Insight1&amp;2!PivotTable1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Dish</a:t>
            </a:r>
            <a:r>
              <a:rPr lang="en-US" b="1" baseline="0"/>
              <a:t> Ordered VS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2">
              <a:lumMod val="75000"/>
            </a:schemeClr>
          </a:solidFill>
          <a:ln>
            <a:solidFill>
              <a:srgbClr val="FF0000"/>
            </a:solidFill>
          </a:ln>
          <a:effectLst/>
        </c:spPr>
        <c:marker>
          <c:symbol val="none"/>
        </c:marker>
      </c:pivotFmt>
    </c:pivotFmts>
    <c:plotArea>
      <c:layout/>
      <c:barChart>
        <c:barDir val="col"/>
        <c:grouping val="clustered"/>
        <c:varyColors val="0"/>
        <c:ser>
          <c:idx val="0"/>
          <c:order val="0"/>
          <c:tx>
            <c:strRef>
              <c:f>'Insight1&amp;2'!$B$3</c:f>
              <c:strCache>
                <c:ptCount val="1"/>
                <c:pt idx="0">
                  <c:v>Total</c:v>
                </c:pt>
              </c:strCache>
            </c:strRef>
          </c:tx>
          <c:spPr>
            <a:solidFill>
              <a:schemeClr val="accent2">
                <a:lumMod val="75000"/>
              </a:schemeClr>
            </a:solidFill>
            <a:ln>
              <a:solidFill>
                <a:srgbClr val="FF0000"/>
              </a:solidFill>
            </a:ln>
            <a:effectLst/>
          </c:spPr>
          <c:invertIfNegative val="0"/>
          <c:cat>
            <c:strRef>
              <c:f>'Insight1&amp;2'!$A$4:$A$15</c:f>
              <c:strCache>
                <c:ptCount val="11"/>
                <c:pt idx="0">
                  <c:v>Burger</c:v>
                </c:pt>
                <c:pt idx="1">
                  <c:v>Fries</c:v>
                </c:pt>
                <c:pt idx="2">
                  <c:v>No dish ordered</c:v>
                </c:pt>
                <c:pt idx="3">
                  <c:v>Nuggets</c:v>
                </c:pt>
                <c:pt idx="4">
                  <c:v>Pasta</c:v>
                </c:pt>
                <c:pt idx="5">
                  <c:v>Pizza</c:v>
                </c:pt>
                <c:pt idx="6">
                  <c:v>Salad</c:v>
                </c:pt>
                <c:pt idx="7">
                  <c:v>Sandwich</c:v>
                </c:pt>
                <c:pt idx="8">
                  <c:v>Sushi</c:v>
                </c:pt>
                <c:pt idx="9">
                  <c:v>Taco</c:v>
                </c:pt>
                <c:pt idx="10">
                  <c:v>Wrap</c:v>
                </c:pt>
              </c:strCache>
            </c:strRef>
          </c:cat>
          <c:val>
            <c:numRef>
              <c:f>'Insight1&amp;2'!$B$4:$B$15</c:f>
              <c:numCache>
                <c:formatCode>General</c:formatCode>
                <c:ptCount val="11"/>
                <c:pt idx="0">
                  <c:v>231</c:v>
                </c:pt>
                <c:pt idx="1">
                  <c:v>252</c:v>
                </c:pt>
                <c:pt idx="2">
                  <c:v>230</c:v>
                </c:pt>
                <c:pt idx="3">
                  <c:v>140</c:v>
                </c:pt>
                <c:pt idx="4">
                  <c:v>215</c:v>
                </c:pt>
                <c:pt idx="5">
                  <c:v>25</c:v>
                </c:pt>
                <c:pt idx="6">
                  <c:v>225</c:v>
                </c:pt>
                <c:pt idx="7">
                  <c:v>280</c:v>
                </c:pt>
                <c:pt idx="8">
                  <c:v>347</c:v>
                </c:pt>
                <c:pt idx="9">
                  <c:v>215</c:v>
                </c:pt>
                <c:pt idx="10">
                  <c:v>20</c:v>
                </c:pt>
              </c:numCache>
            </c:numRef>
          </c:val>
          <c:extLst>
            <c:ext xmlns:c16="http://schemas.microsoft.com/office/drawing/2014/chart" uri="{C3380CC4-5D6E-409C-BE32-E72D297353CC}">
              <c16:uniqueId val="{00000000-AC52-442E-A0BA-F344B839DC66}"/>
            </c:ext>
          </c:extLst>
        </c:ser>
        <c:dLbls>
          <c:showLegendKey val="0"/>
          <c:showVal val="0"/>
          <c:showCatName val="0"/>
          <c:showSerName val="0"/>
          <c:showPercent val="0"/>
          <c:showBubbleSize val="0"/>
        </c:dLbls>
        <c:gapWidth val="219"/>
        <c:overlap val="-27"/>
        <c:axId val="2072620304"/>
        <c:axId val="2072702912"/>
      </c:barChart>
      <c:catAx>
        <c:axId val="2072620304"/>
        <c:scaling>
          <c:orientation val="minMax"/>
        </c:scaling>
        <c:delete val="1"/>
        <c:axPos val="b"/>
        <c:numFmt formatCode="General" sourceLinked="1"/>
        <c:majorTickMark val="none"/>
        <c:minorTickMark val="none"/>
        <c:tickLblPos val="nextTo"/>
        <c:crossAx val="2072702912"/>
        <c:crosses val="autoZero"/>
        <c:auto val="1"/>
        <c:lblAlgn val="ctr"/>
        <c:lblOffset val="100"/>
        <c:noMultiLvlLbl val="0"/>
      </c:catAx>
      <c:valAx>
        <c:axId val="2072702912"/>
        <c:scaling>
          <c:orientation val="minMax"/>
        </c:scaling>
        <c:delete val="1"/>
        <c:axPos val="l"/>
        <c:numFmt formatCode="General" sourceLinked="1"/>
        <c:majorTickMark val="none"/>
        <c:minorTickMark val="none"/>
        <c:tickLblPos val="nextTo"/>
        <c:crossAx val="2072620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rgbClr val="FF0000"/>
      </a:solidFill>
      <a:round/>
    </a:ln>
    <a:effectLst>
      <a:innerShdw blurRad="63500" dist="50800" dir="13500000">
        <a:prstClr val="black">
          <a:alpha val="50000"/>
        </a:prstClr>
      </a:innerShdw>
    </a:effectLst>
    <a:scene3d>
      <a:camera prst="orthographicFront"/>
      <a:lightRig rig="threePt" dir="t"/>
    </a:scene3d>
    <a:sp3d>
      <a:bevelT w="152400" h="50800" prst="softRound"/>
    </a:sp3d>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messy_restaurant_data.xlsx]Insight3!PivotTable1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VS Sum of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2">
              <a:lumMod val="75000"/>
            </a:schemeClr>
          </a:solidFill>
          <a:ln>
            <a:noFill/>
          </a:ln>
          <a:effectLst/>
        </c:spPr>
        <c:marker>
          <c:symbol val="none"/>
        </c:marker>
      </c:pivotFmt>
    </c:pivotFmts>
    <c:plotArea>
      <c:layout/>
      <c:barChart>
        <c:barDir val="bar"/>
        <c:grouping val="clustered"/>
        <c:varyColors val="0"/>
        <c:ser>
          <c:idx val="0"/>
          <c:order val="0"/>
          <c:tx>
            <c:strRef>
              <c:f>Insight3!$B$3</c:f>
              <c:strCache>
                <c:ptCount val="1"/>
                <c:pt idx="0">
                  <c:v>Total</c:v>
                </c:pt>
              </c:strCache>
            </c:strRef>
          </c:tx>
          <c:spPr>
            <a:solidFill>
              <a:schemeClr val="accent2">
                <a:lumMod val="75000"/>
              </a:schemeClr>
            </a:solidFill>
            <a:ln>
              <a:noFill/>
            </a:ln>
            <a:effectLst/>
          </c:spPr>
          <c:invertIfNegative val="0"/>
          <c:cat>
            <c:strRef>
              <c:f>Insight3!$A$4:$A$32</c:f>
              <c:strCache>
                <c:ptCount val="28"/>
                <c:pt idx="0">
                  <c:v>Alex Davis</c:v>
                </c:pt>
                <c:pt idx="1">
                  <c:v>Alex Smith</c:v>
                </c:pt>
                <c:pt idx="2">
                  <c:v>Chris Smith</c:v>
                </c:pt>
                <c:pt idx="3">
                  <c:v>Chris Williams</c:v>
                </c:pt>
                <c:pt idx="4">
                  <c:v>Emily Garcia</c:v>
                </c:pt>
                <c:pt idx="5">
                  <c:v>Emily Johnson</c:v>
                </c:pt>
                <c:pt idx="6">
                  <c:v>Emily Miller</c:v>
                </c:pt>
                <c:pt idx="7">
                  <c:v>James Brown</c:v>
                </c:pt>
                <c:pt idx="8">
                  <c:v>James Garcia</c:v>
                </c:pt>
                <c:pt idx="9">
                  <c:v>James Jones</c:v>
                </c:pt>
                <c:pt idx="10">
                  <c:v>James Martinez</c:v>
                </c:pt>
                <c:pt idx="11">
                  <c:v>James Rodriguez</c:v>
                </c:pt>
                <c:pt idx="12">
                  <c:v>Jane Brown</c:v>
                </c:pt>
                <c:pt idx="13">
                  <c:v>Jane Garcia</c:v>
                </c:pt>
                <c:pt idx="14">
                  <c:v>Jane Martinez</c:v>
                </c:pt>
                <c:pt idx="15">
                  <c:v>Jane Miller</c:v>
                </c:pt>
                <c:pt idx="16">
                  <c:v>Katie Johnson</c:v>
                </c:pt>
                <c:pt idx="17">
                  <c:v>Katie Jones</c:v>
                </c:pt>
                <c:pt idx="18">
                  <c:v>Katie Martinez</c:v>
                </c:pt>
                <c:pt idx="19">
                  <c:v>Laura Jones</c:v>
                </c:pt>
                <c:pt idx="20">
                  <c:v>Laura Williams</c:v>
                </c:pt>
                <c:pt idx="21">
                  <c:v>Michael Johnson</c:v>
                </c:pt>
                <c:pt idx="22">
                  <c:v>Michael Williams</c:v>
                </c:pt>
                <c:pt idx="23">
                  <c:v>No Name</c:v>
                </c:pt>
                <c:pt idx="24">
                  <c:v>Sarah Jones</c:v>
                </c:pt>
                <c:pt idx="25">
                  <c:v>Sarah Miller</c:v>
                </c:pt>
                <c:pt idx="26">
                  <c:v>Sarah Rodriguez</c:v>
                </c:pt>
                <c:pt idx="27">
                  <c:v>Sarah Williams</c:v>
                </c:pt>
              </c:strCache>
            </c:strRef>
          </c:cat>
          <c:val>
            <c:numRef>
              <c:f>Insight3!$B$4:$B$32</c:f>
              <c:numCache>
                <c:formatCode>General</c:formatCode>
                <c:ptCount val="28"/>
                <c:pt idx="0">
                  <c:v>15</c:v>
                </c:pt>
                <c:pt idx="1">
                  <c:v>125</c:v>
                </c:pt>
                <c:pt idx="2">
                  <c:v>20</c:v>
                </c:pt>
                <c:pt idx="3">
                  <c:v>80</c:v>
                </c:pt>
                <c:pt idx="4">
                  <c:v>140</c:v>
                </c:pt>
                <c:pt idx="5">
                  <c:v>40</c:v>
                </c:pt>
                <c:pt idx="6">
                  <c:v>125</c:v>
                </c:pt>
                <c:pt idx="7">
                  <c:v>190</c:v>
                </c:pt>
                <c:pt idx="8">
                  <c:v>30</c:v>
                </c:pt>
                <c:pt idx="9">
                  <c:v>30</c:v>
                </c:pt>
                <c:pt idx="10">
                  <c:v>60</c:v>
                </c:pt>
                <c:pt idx="11">
                  <c:v>175</c:v>
                </c:pt>
                <c:pt idx="12">
                  <c:v>20</c:v>
                </c:pt>
                <c:pt idx="13">
                  <c:v>125</c:v>
                </c:pt>
                <c:pt idx="14">
                  <c:v>100</c:v>
                </c:pt>
                <c:pt idx="15">
                  <c:v>25</c:v>
                </c:pt>
                <c:pt idx="16">
                  <c:v>20</c:v>
                </c:pt>
                <c:pt idx="17">
                  <c:v>65</c:v>
                </c:pt>
                <c:pt idx="18">
                  <c:v>17</c:v>
                </c:pt>
                <c:pt idx="19">
                  <c:v>50</c:v>
                </c:pt>
                <c:pt idx="20">
                  <c:v>20</c:v>
                </c:pt>
                <c:pt idx="21">
                  <c:v>5</c:v>
                </c:pt>
                <c:pt idx="22">
                  <c:v>10</c:v>
                </c:pt>
                <c:pt idx="23">
                  <c:v>453</c:v>
                </c:pt>
                <c:pt idx="24">
                  <c:v>50</c:v>
                </c:pt>
                <c:pt idx="25">
                  <c:v>25</c:v>
                </c:pt>
                <c:pt idx="26">
                  <c:v>75</c:v>
                </c:pt>
                <c:pt idx="27">
                  <c:v>90</c:v>
                </c:pt>
              </c:numCache>
            </c:numRef>
          </c:val>
          <c:extLst>
            <c:ext xmlns:c16="http://schemas.microsoft.com/office/drawing/2014/chart" uri="{C3380CC4-5D6E-409C-BE32-E72D297353CC}">
              <c16:uniqueId val="{00000000-4847-4786-8A8A-C6791F100645}"/>
            </c:ext>
          </c:extLst>
        </c:ser>
        <c:dLbls>
          <c:showLegendKey val="0"/>
          <c:showVal val="0"/>
          <c:showCatName val="0"/>
          <c:showSerName val="0"/>
          <c:showPercent val="0"/>
          <c:showBubbleSize val="0"/>
        </c:dLbls>
        <c:gapWidth val="182"/>
        <c:axId val="2070931840"/>
        <c:axId val="2072714976"/>
      </c:barChart>
      <c:catAx>
        <c:axId val="2070931840"/>
        <c:scaling>
          <c:orientation val="minMax"/>
        </c:scaling>
        <c:delete val="1"/>
        <c:axPos val="l"/>
        <c:numFmt formatCode="General" sourceLinked="1"/>
        <c:majorTickMark val="none"/>
        <c:minorTickMark val="none"/>
        <c:tickLblPos val="nextTo"/>
        <c:crossAx val="2072714976"/>
        <c:crosses val="autoZero"/>
        <c:auto val="1"/>
        <c:lblAlgn val="ctr"/>
        <c:lblOffset val="100"/>
        <c:noMultiLvlLbl val="0"/>
      </c:catAx>
      <c:valAx>
        <c:axId val="2072714976"/>
        <c:scaling>
          <c:orientation val="minMax"/>
        </c:scaling>
        <c:delete val="1"/>
        <c:axPos val="b"/>
        <c:numFmt formatCode="General" sourceLinked="1"/>
        <c:majorTickMark val="none"/>
        <c:minorTickMark val="none"/>
        <c:tickLblPos val="nextTo"/>
        <c:crossAx val="2070931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rgbClr val="FF0000"/>
      </a:solidFill>
      <a:round/>
    </a:ln>
    <a:effectLst>
      <a:innerShdw blurRad="63500" dist="50800" dir="13500000">
        <a:prstClr val="black">
          <a:alpha val="50000"/>
        </a:prstClr>
      </a:innerShdw>
    </a:effectLst>
    <a:scene3d>
      <a:camera prst="orthographicFront"/>
      <a:lightRig rig="threePt" dir="t"/>
    </a:scene3d>
    <a:sp3d>
      <a:bevelT w="152400" h="50800" prst="softRound"/>
    </a:sp3d>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messy_restaurant_data.xlsx]Insight4!PivotTable1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Date</a:t>
            </a:r>
            <a:r>
              <a:rPr lang="en-US" b="1" baseline="0"/>
              <a:t> VS Sum of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gradFill flip="none" rotWithShape="1">
            <a:gsLst>
              <a:gs pos="0">
                <a:srgbClr val="FF0000"/>
              </a:gs>
              <a:gs pos="62000">
                <a:schemeClr val="accent2">
                  <a:lumMod val="89000"/>
                </a:schemeClr>
              </a:gs>
              <a:gs pos="81000">
                <a:schemeClr val="accent2"/>
              </a:gs>
              <a:gs pos="97000">
                <a:schemeClr val="accent2">
                  <a:lumMod val="70000"/>
                </a:schemeClr>
              </a:gs>
            </a:gsLst>
            <a:lin ang="2700000" scaled="1"/>
            <a:tileRect/>
          </a:gradFill>
          <a:ln w="19050">
            <a:solidFill>
              <a:schemeClr val="lt1"/>
            </a:solidFill>
          </a:ln>
          <a:effectLst/>
        </c:spPr>
      </c:pivotFmt>
      <c:pivotFmt>
        <c:idx val="9"/>
        <c:spPr>
          <a:solidFill>
            <a:schemeClr val="accent2">
              <a:lumMod val="75000"/>
            </a:schemeClr>
          </a:solidFill>
          <a:ln w="19050">
            <a:solidFill>
              <a:schemeClr val="lt1"/>
            </a:solidFill>
          </a:ln>
          <a:effectLst/>
        </c:spPr>
      </c:pivotFmt>
    </c:pivotFmts>
    <c:plotArea>
      <c:layout/>
      <c:pieChart>
        <c:varyColors val="1"/>
        <c:ser>
          <c:idx val="0"/>
          <c:order val="0"/>
          <c:tx>
            <c:strRef>
              <c:f>Insight4!$B$3</c:f>
              <c:strCache>
                <c:ptCount val="1"/>
                <c:pt idx="0">
                  <c:v>Total</c:v>
                </c:pt>
              </c:strCache>
            </c:strRef>
          </c:tx>
          <c:dPt>
            <c:idx val="0"/>
            <c:bubble3D val="0"/>
            <c:spPr>
              <a:gradFill flip="none" rotWithShape="1">
                <a:gsLst>
                  <a:gs pos="0">
                    <a:srgbClr val="FF0000"/>
                  </a:gs>
                  <a:gs pos="62000">
                    <a:schemeClr val="accent2">
                      <a:lumMod val="89000"/>
                    </a:schemeClr>
                  </a:gs>
                  <a:gs pos="81000">
                    <a:schemeClr val="accent2"/>
                  </a:gs>
                  <a:gs pos="97000">
                    <a:schemeClr val="accent2">
                      <a:lumMod val="70000"/>
                    </a:schemeClr>
                  </a:gs>
                </a:gsLst>
                <a:lin ang="2700000" scaled="1"/>
                <a:tileRect/>
              </a:gradFill>
              <a:ln w="19050">
                <a:solidFill>
                  <a:schemeClr val="lt1"/>
                </a:solidFill>
              </a:ln>
              <a:effectLst/>
            </c:spPr>
            <c:extLst>
              <c:ext xmlns:c16="http://schemas.microsoft.com/office/drawing/2014/chart" uri="{C3380CC4-5D6E-409C-BE32-E72D297353CC}">
                <c16:uniqueId val="{00000001-A00C-4DD4-A961-16410C010082}"/>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A00C-4DD4-A961-16410C010082}"/>
              </c:ext>
            </c:extLst>
          </c:dPt>
          <c:cat>
            <c:strRef>
              <c:f>Insight4!$A$4:$A$6</c:f>
              <c:strCache>
                <c:ptCount val="2"/>
                <c:pt idx="0">
                  <c:v>Jan</c:v>
                </c:pt>
                <c:pt idx="1">
                  <c:v>Feb</c:v>
                </c:pt>
              </c:strCache>
            </c:strRef>
          </c:cat>
          <c:val>
            <c:numRef>
              <c:f>Insight4!$B$4:$B$6</c:f>
              <c:numCache>
                <c:formatCode>General</c:formatCode>
                <c:ptCount val="2"/>
                <c:pt idx="0">
                  <c:v>1740</c:v>
                </c:pt>
                <c:pt idx="1">
                  <c:v>440</c:v>
                </c:pt>
              </c:numCache>
            </c:numRef>
          </c:val>
          <c:extLst>
            <c:ext xmlns:c16="http://schemas.microsoft.com/office/drawing/2014/chart" uri="{C3380CC4-5D6E-409C-BE32-E72D297353CC}">
              <c16:uniqueId val="{00000004-A00C-4DD4-A961-16410C01008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rgbClr val="FF0000"/>
      </a:solidFill>
      <a:round/>
    </a:ln>
    <a:effectLst>
      <a:innerShdw blurRad="63500" dist="50800" dir="13500000">
        <a:prstClr val="black">
          <a:alpha val="50000"/>
        </a:prstClr>
      </a:innerShdw>
    </a:effectLst>
    <a:scene3d>
      <a:camera prst="orthographicFront"/>
      <a:lightRig rig="threePt" dir="t"/>
    </a:scene3d>
    <a:sp3d>
      <a:bevelT w="152400" h="50800" prst="softRound"/>
    </a:sp3d>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messy_restaurant_data.xlsx]Insight5!PivotTable1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Restaurant</a:t>
            </a:r>
            <a:r>
              <a:rPr lang="en-US" b="1" baseline="0"/>
              <a:t> VS Sum of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2">
              <a:lumMod val="75000"/>
            </a:schemeClr>
          </a:solidFill>
          <a:ln>
            <a:noFill/>
          </a:ln>
          <a:effectLst/>
        </c:spPr>
        <c:marker>
          <c:symbol val="none"/>
        </c:marker>
      </c:pivotFmt>
    </c:pivotFmts>
    <c:plotArea>
      <c:layout/>
      <c:barChart>
        <c:barDir val="col"/>
        <c:grouping val="clustered"/>
        <c:varyColors val="0"/>
        <c:ser>
          <c:idx val="0"/>
          <c:order val="0"/>
          <c:tx>
            <c:strRef>
              <c:f>Insight5!$B$3</c:f>
              <c:strCache>
                <c:ptCount val="1"/>
                <c:pt idx="0">
                  <c:v>Total</c:v>
                </c:pt>
              </c:strCache>
            </c:strRef>
          </c:tx>
          <c:spPr>
            <a:solidFill>
              <a:schemeClr val="accent2">
                <a:lumMod val="75000"/>
              </a:schemeClr>
            </a:solidFill>
            <a:ln>
              <a:noFill/>
            </a:ln>
            <a:effectLst/>
          </c:spPr>
          <c:invertIfNegative val="0"/>
          <c:cat>
            <c:strRef>
              <c:f>Insight5!$A$4:$A$10</c:f>
              <c:strCache>
                <c:ptCount val="6"/>
                <c:pt idx="0">
                  <c:v>Burger King</c:v>
                </c:pt>
                <c:pt idx="1">
                  <c:v>Dominos</c:v>
                </c:pt>
                <c:pt idx="2">
                  <c:v>KFC</c:v>
                </c:pt>
                <c:pt idx="3">
                  <c:v>McDonalds</c:v>
                </c:pt>
                <c:pt idx="4">
                  <c:v>No Restaurant</c:v>
                </c:pt>
                <c:pt idx="5">
                  <c:v>Subway</c:v>
                </c:pt>
              </c:strCache>
            </c:strRef>
          </c:cat>
          <c:val>
            <c:numRef>
              <c:f>Insight5!$B$4:$B$10</c:f>
              <c:numCache>
                <c:formatCode>General</c:formatCode>
                <c:ptCount val="6"/>
                <c:pt idx="0">
                  <c:v>261</c:v>
                </c:pt>
                <c:pt idx="1">
                  <c:v>447</c:v>
                </c:pt>
                <c:pt idx="2">
                  <c:v>295</c:v>
                </c:pt>
                <c:pt idx="3">
                  <c:v>625</c:v>
                </c:pt>
                <c:pt idx="4">
                  <c:v>225</c:v>
                </c:pt>
                <c:pt idx="5">
                  <c:v>327</c:v>
                </c:pt>
              </c:numCache>
            </c:numRef>
          </c:val>
          <c:extLst>
            <c:ext xmlns:c16="http://schemas.microsoft.com/office/drawing/2014/chart" uri="{C3380CC4-5D6E-409C-BE32-E72D297353CC}">
              <c16:uniqueId val="{00000000-2BAC-41D7-A153-1D18F5AAB8CD}"/>
            </c:ext>
          </c:extLst>
        </c:ser>
        <c:dLbls>
          <c:showLegendKey val="0"/>
          <c:showVal val="0"/>
          <c:showCatName val="0"/>
          <c:showSerName val="0"/>
          <c:showPercent val="0"/>
          <c:showBubbleSize val="0"/>
        </c:dLbls>
        <c:gapWidth val="219"/>
        <c:overlap val="-27"/>
        <c:axId val="2070928240"/>
        <c:axId val="46951424"/>
      </c:barChart>
      <c:catAx>
        <c:axId val="2070928240"/>
        <c:scaling>
          <c:orientation val="minMax"/>
        </c:scaling>
        <c:delete val="1"/>
        <c:axPos val="b"/>
        <c:numFmt formatCode="General" sourceLinked="1"/>
        <c:majorTickMark val="none"/>
        <c:minorTickMark val="none"/>
        <c:tickLblPos val="nextTo"/>
        <c:crossAx val="46951424"/>
        <c:crosses val="autoZero"/>
        <c:auto val="1"/>
        <c:lblAlgn val="ctr"/>
        <c:lblOffset val="100"/>
        <c:noMultiLvlLbl val="0"/>
      </c:catAx>
      <c:valAx>
        <c:axId val="46951424"/>
        <c:scaling>
          <c:orientation val="minMax"/>
        </c:scaling>
        <c:delete val="1"/>
        <c:axPos val="l"/>
        <c:numFmt formatCode="General" sourceLinked="1"/>
        <c:majorTickMark val="none"/>
        <c:minorTickMark val="none"/>
        <c:tickLblPos val="nextTo"/>
        <c:crossAx val="2070928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rgbClr val="FF0000"/>
      </a:solidFill>
      <a:round/>
    </a:ln>
    <a:effectLst/>
    <a:scene3d>
      <a:camera prst="orthographicFront"/>
      <a:lightRig rig="threePt" dir="t"/>
    </a:scene3d>
    <a:sp3d>
      <a:bevelT w="152400" h="50800" prst="softRound"/>
    </a:sp3d>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messy_restaurant_data.xlsx]Insight7!PivotTable1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Restaurant</a:t>
            </a:r>
            <a:r>
              <a:rPr lang="en-US" b="1" baseline="0"/>
              <a:t> VS Dish Ordered VS Sum of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2">
              <a:lumMod val="75000"/>
            </a:schemeClr>
          </a:solidFill>
          <a:ln>
            <a:noFill/>
          </a:ln>
          <a:effectLst/>
        </c:spPr>
        <c:marker>
          <c:symbol val="none"/>
        </c:marker>
      </c:pivotFmt>
    </c:pivotFmts>
    <c:plotArea>
      <c:layout/>
      <c:barChart>
        <c:barDir val="bar"/>
        <c:grouping val="clustered"/>
        <c:varyColors val="0"/>
        <c:ser>
          <c:idx val="0"/>
          <c:order val="0"/>
          <c:tx>
            <c:strRef>
              <c:f>Insight7!$B$3</c:f>
              <c:strCache>
                <c:ptCount val="1"/>
                <c:pt idx="0">
                  <c:v>Total</c:v>
                </c:pt>
              </c:strCache>
            </c:strRef>
          </c:tx>
          <c:spPr>
            <a:solidFill>
              <a:schemeClr val="accent2">
                <a:lumMod val="75000"/>
              </a:schemeClr>
            </a:solidFill>
            <a:ln>
              <a:noFill/>
            </a:ln>
            <a:effectLst/>
          </c:spPr>
          <c:invertIfNegative val="0"/>
          <c:cat>
            <c:multiLvlStrRef>
              <c:f>Insight7!$A$4:$A$37</c:f>
              <c:multiLvlStrCache>
                <c:ptCount val="27"/>
                <c:lvl>
                  <c:pt idx="0">
                    <c:v>Burger</c:v>
                  </c:pt>
                  <c:pt idx="1">
                    <c:v>Fries</c:v>
                  </c:pt>
                  <c:pt idx="2">
                    <c:v>No dish ordered</c:v>
                  </c:pt>
                  <c:pt idx="3">
                    <c:v>Pasta</c:v>
                  </c:pt>
                  <c:pt idx="4">
                    <c:v>Fries</c:v>
                  </c:pt>
                  <c:pt idx="5">
                    <c:v>No dish ordered</c:v>
                  </c:pt>
                  <c:pt idx="6">
                    <c:v>Sandwich</c:v>
                  </c:pt>
                  <c:pt idx="7">
                    <c:v>Sushi</c:v>
                  </c:pt>
                  <c:pt idx="8">
                    <c:v>No dish ordered</c:v>
                  </c:pt>
                  <c:pt idx="9">
                    <c:v>Salad</c:v>
                  </c:pt>
                  <c:pt idx="10">
                    <c:v>Sandwich</c:v>
                  </c:pt>
                  <c:pt idx="11">
                    <c:v>Fries</c:v>
                  </c:pt>
                  <c:pt idx="12">
                    <c:v>No dish ordered</c:v>
                  </c:pt>
                  <c:pt idx="13">
                    <c:v>Nuggets</c:v>
                  </c:pt>
                  <c:pt idx="14">
                    <c:v>Pizza</c:v>
                  </c:pt>
                  <c:pt idx="15">
                    <c:v>Sandwich</c:v>
                  </c:pt>
                  <c:pt idx="16">
                    <c:v>Sushi</c:v>
                  </c:pt>
                  <c:pt idx="17">
                    <c:v>Taco</c:v>
                  </c:pt>
                  <c:pt idx="18">
                    <c:v>Fries</c:v>
                  </c:pt>
                  <c:pt idx="19">
                    <c:v>No dish ordered</c:v>
                  </c:pt>
                  <c:pt idx="20">
                    <c:v>Nuggets</c:v>
                  </c:pt>
                  <c:pt idx="21">
                    <c:v>Pasta</c:v>
                  </c:pt>
                  <c:pt idx="22">
                    <c:v>Wrap</c:v>
                  </c:pt>
                  <c:pt idx="23">
                    <c:v>Burger</c:v>
                  </c:pt>
                  <c:pt idx="24">
                    <c:v>Pasta</c:v>
                  </c:pt>
                  <c:pt idx="25">
                    <c:v>Sandwich</c:v>
                  </c:pt>
                  <c:pt idx="26">
                    <c:v>Sushi</c:v>
                  </c:pt>
                </c:lvl>
                <c:lvl>
                  <c:pt idx="0">
                    <c:v>Burger King</c:v>
                  </c:pt>
                  <c:pt idx="4">
                    <c:v>Dominos</c:v>
                  </c:pt>
                  <c:pt idx="8">
                    <c:v>KFC</c:v>
                  </c:pt>
                  <c:pt idx="11">
                    <c:v>McDonalds</c:v>
                  </c:pt>
                  <c:pt idx="18">
                    <c:v>No Restaurant</c:v>
                  </c:pt>
                  <c:pt idx="23">
                    <c:v>Subway</c:v>
                  </c:pt>
                </c:lvl>
              </c:multiLvlStrCache>
            </c:multiLvlStrRef>
          </c:cat>
          <c:val>
            <c:numRef>
              <c:f>Insight7!$B$4:$B$37</c:f>
              <c:numCache>
                <c:formatCode>General</c:formatCode>
                <c:ptCount val="27"/>
                <c:pt idx="0">
                  <c:v>106</c:v>
                </c:pt>
                <c:pt idx="1">
                  <c:v>50</c:v>
                </c:pt>
                <c:pt idx="2">
                  <c:v>30</c:v>
                </c:pt>
                <c:pt idx="3">
                  <c:v>75</c:v>
                </c:pt>
                <c:pt idx="4">
                  <c:v>167</c:v>
                </c:pt>
                <c:pt idx="5">
                  <c:v>25</c:v>
                </c:pt>
                <c:pt idx="6">
                  <c:v>80</c:v>
                </c:pt>
                <c:pt idx="7">
                  <c:v>175</c:v>
                </c:pt>
                <c:pt idx="8">
                  <c:v>30</c:v>
                </c:pt>
                <c:pt idx="9">
                  <c:v>225</c:v>
                </c:pt>
                <c:pt idx="10">
                  <c:v>40</c:v>
                </c:pt>
                <c:pt idx="11">
                  <c:v>5</c:v>
                </c:pt>
                <c:pt idx="12">
                  <c:v>5</c:v>
                </c:pt>
                <c:pt idx="13">
                  <c:v>125</c:v>
                </c:pt>
                <c:pt idx="14">
                  <c:v>25</c:v>
                </c:pt>
                <c:pt idx="15">
                  <c:v>95</c:v>
                </c:pt>
                <c:pt idx="16">
                  <c:v>155</c:v>
                </c:pt>
                <c:pt idx="17">
                  <c:v>215</c:v>
                </c:pt>
                <c:pt idx="18">
                  <c:v>30</c:v>
                </c:pt>
                <c:pt idx="19">
                  <c:v>140</c:v>
                </c:pt>
                <c:pt idx="20">
                  <c:v>15</c:v>
                </c:pt>
                <c:pt idx="21">
                  <c:v>20</c:v>
                </c:pt>
                <c:pt idx="22">
                  <c:v>20</c:v>
                </c:pt>
                <c:pt idx="23">
                  <c:v>125</c:v>
                </c:pt>
                <c:pt idx="24">
                  <c:v>120</c:v>
                </c:pt>
                <c:pt idx="25">
                  <c:v>65</c:v>
                </c:pt>
                <c:pt idx="26">
                  <c:v>17</c:v>
                </c:pt>
              </c:numCache>
            </c:numRef>
          </c:val>
          <c:extLst>
            <c:ext xmlns:c16="http://schemas.microsoft.com/office/drawing/2014/chart" uri="{C3380CC4-5D6E-409C-BE32-E72D297353CC}">
              <c16:uniqueId val="{00000000-9B2E-471F-8091-14216C31E195}"/>
            </c:ext>
          </c:extLst>
        </c:ser>
        <c:dLbls>
          <c:showLegendKey val="0"/>
          <c:showVal val="0"/>
          <c:showCatName val="0"/>
          <c:showSerName val="0"/>
          <c:showPercent val="0"/>
          <c:showBubbleSize val="0"/>
        </c:dLbls>
        <c:gapWidth val="182"/>
        <c:axId val="52203696"/>
        <c:axId val="46948512"/>
      </c:barChart>
      <c:catAx>
        <c:axId val="52203696"/>
        <c:scaling>
          <c:orientation val="minMax"/>
        </c:scaling>
        <c:delete val="1"/>
        <c:axPos val="l"/>
        <c:numFmt formatCode="General" sourceLinked="1"/>
        <c:majorTickMark val="none"/>
        <c:minorTickMark val="none"/>
        <c:tickLblPos val="nextTo"/>
        <c:crossAx val="46948512"/>
        <c:crosses val="autoZero"/>
        <c:auto val="1"/>
        <c:lblAlgn val="ctr"/>
        <c:lblOffset val="100"/>
        <c:noMultiLvlLbl val="0"/>
      </c:catAx>
      <c:valAx>
        <c:axId val="46948512"/>
        <c:scaling>
          <c:orientation val="minMax"/>
        </c:scaling>
        <c:delete val="1"/>
        <c:axPos val="b"/>
        <c:numFmt formatCode="General" sourceLinked="1"/>
        <c:majorTickMark val="none"/>
        <c:minorTickMark val="none"/>
        <c:tickLblPos val="nextTo"/>
        <c:crossAx val="52203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rgbClr val="FF0000"/>
      </a:solidFill>
      <a:round/>
    </a:ln>
    <a:effectLst>
      <a:innerShdw blurRad="63500" dist="50800" dir="13500000">
        <a:prstClr val="black">
          <a:alpha val="50000"/>
        </a:prstClr>
      </a:innerShdw>
    </a:effectLst>
    <a:scene3d>
      <a:camera prst="orthographicFront"/>
      <a:lightRig rig="threePt" dir="t"/>
    </a:scene3d>
    <a:sp3d>
      <a:bevelT w="152400" h="50800" prst="softRound"/>
    </a:sp3d>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647700</xdr:colOff>
      <xdr:row>2</xdr:row>
      <xdr:rowOff>31750</xdr:rowOff>
    </xdr:from>
    <xdr:to>
      <xdr:col>8</xdr:col>
      <xdr:colOff>558800</xdr:colOff>
      <xdr:row>17</xdr:row>
      <xdr:rowOff>12700</xdr:rowOff>
    </xdr:to>
    <xdr:graphicFrame macro="">
      <xdr:nvGraphicFramePr>
        <xdr:cNvPr id="6" name="Chart 5">
          <a:extLst>
            <a:ext uri="{FF2B5EF4-FFF2-40B4-BE49-F238E27FC236}">
              <a16:creationId xmlns:a16="http://schemas.microsoft.com/office/drawing/2014/main" id="{47975124-B938-4232-8F67-D2E34BDB7E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1</xdr:row>
      <xdr:rowOff>158750</xdr:rowOff>
    </xdr:from>
    <xdr:to>
      <xdr:col>10</xdr:col>
      <xdr:colOff>76200</xdr:colOff>
      <xdr:row>16</xdr:row>
      <xdr:rowOff>139700</xdr:rowOff>
    </xdr:to>
    <xdr:graphicFrame macro="">
      <xdr:nvGraphicFramePr>
        <xdr:cNvPr id="2" name="Chart 1">
          <a:extLst>
            <a:ext uri="{FF2B5EF4-FFF2-40B4-BE49-F238E27FC236}">
              <a16:creationId xmlns:a16="http://schemas.microsoft.com/office/drawing/2014/main" id="{86D5B811-46AD-444B-BCC5-978DA6A9C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330200</xdr:colOff>
      <xdr:row>2</xdr:row>
      <xdr:rowOff>69850</xdr:rowOff>
    </xdr:from>
    <xdr:to>
      <xdr:col>9</xdr:col>
      <xdr:colOff>552450</xdr:colOff>
      <xdr:row>16</xdr:row>
      <xdr:rowOff>165100</xdr:rowOff>
    </xdr:to>
    <xdr:graphicFrame macro="">
      <xdr:nvGraphicFramePr>
        <xdr:cNvPr id="2" name="Chart 1">
          <a:extLst>
            <a:ext uri="{FF2B5EF4-FFF2-40B4-BE49-F238E27FC236}">
              <a16:creationId xmlns:a16="http://schemas.microsoft.com/office/drawing/2014/main" id="{CD051EC8-4CAB-4F4F-87F1-B5C312E5A3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50800</xdr:colOff>
      <xdr:row>2</xdr:row>
      <xdr:rowOff>31750</xdr:rowOff>
    </xdr:from>
    <xdr:to>
      <xdr:col>9</xdr:col>
      <xdr:colOff>355600</xdr:colOff>
      <xdr:row>17</xdr:row>
      <xdr:rowOff>12700</xdr:rowOff>
    </xdr:to>
    <xdr:graphicFrame macro="">
      <xdr:nvGraphicFramePr>
        <xdr:cNvPr id="2" name="Chart 1">
          <a:extLst>
            <a:ext uri="{FF2B5EF4-FFF2-40B4-BE49-F238E27FC236}">
              <a16:creationId xmlns:a16="http://schemas.microsoft.com/office/drawing/2014/main" id="{980804F2-ACF0-4F3F-9BD0-38CAD11D42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25400</xdr:colOff>
      <xdr:row>2</xdr:row>
      <xdr:rowOff>31750</xdr:rowOff>
    </xdr:from>
    <xdr:to>
      <xdr:col>9</xdr:col>
      <xdr:colOff>330200</xdr:colOff>
      <xdr:row>17</xdr:row>
      <xdr:rowOff>12700</xdr:rowOff>
    </xdr:to>
    <xdr:graphicFrame macro="">
      <xdr:nvGraphicFramePr>
        <xdr:cNvPr id="2" name="Chart 1">
          <a:extLst>
            <a:ext uri="{FF2B5EF4-FFF2-40B4-BE49-F238E27FC236}">
              <a16:creationId xmlns:a16="http://schemas.microsoft.com/office/drawing/2014/main" id="{008951C2-AC0F-4A94-97C7-6828AB5F7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381000</xdr:colOff>
      <xdr:row>2</xdr:row>
      <xdr:rowOff>171450</xdr:rowOff>
    </xdr:from>
    <xdr:to>
      <xdr:col>12</xdr:col>
      <xdr:colOff>76200</xdr:colOff>
      <xdr:row>17</xdr:row>
      <xdr:rowOff>152400</xdr:rowOff>
    </xdr:to>
    <xdr:graphicFrame macro="">
      <xdr:nvGraphicFramePr>
        <xdr:cNvPr id="2" name="Chart 1">
          <a:extLst>
            <a:ext uri="{FF2B5EF4-FFF2-40B4-BE49-F238E27FC236}">
              <a16:creationId xmlns:a16="http://schemas.microsoft.com/office/drawing/2014/main" id="{53912E16-6DA4-40C1-B52D-088DD2BF8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334397</xdr:colOff>
      <xdr:row>6</xdr:row>
      <xdr:rowOff>171983</xdr:rowOff>
    </xdr:from>
    <xdr:to>
      <xdr:col>20</xdr:col>
      <xdr:colOff>590255</xdr:colOff>
      <xdr:row>38</xdr:row>
      <xdr:rowOff>149243</xdr:rowOff>
    </xdr:to>
    <xdr:grpSp>
      <xdr:nvGrpSpPr>
        <xdr:cNvPr id="9" name="Group 8">
          <a:extLst>
            <a:ext uri="{FF2B5EF4-FFF2-40B4-BE49-F238E27FC236}">
              <a16:creationId xmlns:a16="http://schemas.microsoft.com/office/drawing/2014/main" id="{B019BA6A-8286-454E-8B7E-A6011A31C856}"/>
            </a:ext>
          </a:extLst>
        </xdr:cNvPr>
        <xdr:cNvGrpSpPr/>
      </xdr:nvGrpSpPr>
      <xdr:grpSpPr>
        <a:xfrm>
          <a:off x="334397" y="1479336"/>
          <a:ext cx="12457819" cy="5953731"/>
          <a:chOff x="185359" y="1207407"/>
          <a:chExt cx="12447858" cy="6073260"/>
        </a:xfrm>
      </xdr:grpSpPr>
      <xdr:graphicFrame macro="">
        <xdr:nvGraphicFramePr>
          <xdr:cNvPr id="2" name="Chart 1">
            <a:extLst>
              <a:ext uri="{FF2B5EF4-FFF2-40B4-BE49-F238E27FC236}">
                <a16:creationId xmlns:a16="http://schemas.microsoft.com/office/drawing/2014/main" id="{2E4C7E2B-C929-4F85-9C65-CEB3CCDFB90B}"/>
              </a:ext>
            </a:extLst>
          </xdr:cNvPr>
          <xdr:cNvGraphicFramePr>
            <a:graphicFrameLocks/>
          </xdr:cNvGraphicFramePr>
        </xdr:nvGraphicFramePr>
        <xdr:xfrm>
          <a:off x="185359" y="1207407"/>
          <a:ext cx="3880800" cy="276097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65886474-F1E0-403E-AC07-F0A1F65457FE}"/>
              </a:ext>
            </a:extLst>
          </xdr:cNvPr>
          <xdr:cNvGraphicFramePr>
            <a:graphicFrameLocks/>
          </xdr:cNvGraphicFramePr>
        </xdr:nvGraphicFramePr>
        <xdr:xfrm>
          <a:off x="4468003" y="1207407"/>
          <a:ext cx="3879850" cy="275952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E0ADFBAF-384F-471D-A65B-B63E0793B6D3}"/>
              </a:ext>
            </a:extLst>
          </xdr:cNvPr>
          <xdr:cNvGraphicFramePr>
            <a:graphicFrameLocks/>
          </xdr:cNvGraphicFramePr>
        </xdr:nvGraphicFramePr>
        <xdr:xfrm>
          <a:off x="8749696" y="1207407"/>
          <a:ext cx="3883521" cy="276097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0395C341-2F85-432C-B001-BFED25048A89}"/>
              </a:ext>
            </a:extLst>
          </xdr:cNvPr>
          <xdr:cNvGraphicFramePr>
            <a:graphicFrameLocks/>
          </xdr:cNvGraphicFramePr>
        </xdr:nvGraphicFramePr>
        <xdr:xfrm>
          <a:off x="185359" y="4469795"/>
          <a:ext cx="3864471" cy="2810872"/>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Chart 5">
            <a:extLst>
              <a:ext uri="{FF2B5EF4-FFF2-40B4-BE49-F238E27FC236}">
                <a16:creationId xmlns:a16="http://schemas.microsoft.com/office/drawing/2014/main" id="{9F0217B9-D990-4C05-ABAA-D84DDD3058EA}"/>
              </a:ext>
            </a:extLst>
          </xdr:cNvPr>
          <xdr:cNvGraphicFramePr>
            <a:graphicFrameLocks/>
          </xdr:cNvGraphicFramePr>
        </xdr:nvGraphicFramePr>
        <xdr:xfrm>
          <a:off x="8768746" y="4469795"/>
          <a:ext cx="3864471" cy="2810872"/>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xdr:col>
      <xdr:colOff>469900</xdr:colOff>
      <xdr:row>0</xdr:row>
      <xdr:rowOff>88900</xdr:rowOff>
    </xdr:from>
    <xdr:to>
      <xdr:col>21</xdr:col>
      <xdr:colOff>398431</xdr:colOff>
      <xdr:row>2</xdr:row>
      <xdr:rowOff>228600</xdr:rowOff>
    </xdr:to>
    <xdr:sp macro="" textlink="">
      <xdr:nvSpPr>
        <xdr:cNvPr id="10" name="TextBox 9">
          <a:extLst>
            <a:ext uri="{FF2B5EF4-FFF2-40B4-BE49-F238E27FC236}">
              <a16:creationId xmlns:a16="http://schemas.microsoft.com/office/drawing/2014/main" id="{5DFB6C2D-1A0D-447E-A8E7-F1A4C52E82F9}"/>
            </a:ext>
          </a:extLst>
        </xdr:cNvPr>
        <xdr:cNvSpPr txBox="1"/>
      </xdr:nvSpPr>
      <xdr:spPr>
        <a:xfrm>
          <a:off x="1079998" y="88900"/>
          <a:ext cx="12130492" cy="513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latin typeface="Arial Rounded MT Bold" panose="020F0704030504030204" pitchFamily="34" charset="0"/>
            </a:rPr>
            <a:t>CAPSTONE RESTAURANT SALES &amp; OPERATIONS ANALYTICS DASHBOARD</a:t>
          </a:r>
          <a:endParaRPr lang="en-NG" sz="2400" b="1">
            <a:latin typeface="Arial Rounded MT Bold" panose="020F0704030504030204" pitchFamily="34" charset="0"/>
          </a:endParaRPr>
        </a:p>
      </xdr:txBody>
    </xdr:sp>
    <xdr:clientData/>
  </xdr:twoCellAnchor>
  <xdr:twoCellAnchor editAs="oneCell">
    <xdr:from>
      <xdr:col>27</xdr:col>
      <xdr:colOff>259938</xdr:colOff>
      <xdr:row>6</xdr:row>
      <xdr:rowOff>149705</xdr:rowOff>
    </xdr:from>
    <xdr:to>
      <xdr:col>30</xdr:col>
      <xdr:colOff>259938</xdr:colOff>
      <xdr:row>32</xdr:row>
      <xdr:rowOff>36077</xdr:rowOff>
    </xdr:to>
    <mc:AlternateContent xmlns:mc="http://schemas.openxmlformats.org/markup-compatibility/2006">
      <mc:Choice xmlns:a14="http://schemas.microsoft.com/office/drawing/2010/main" Requires="a14">
        <xdr:graphicFrame macro="">
          <xdr:nvGraphicFramePr>
            <xdr:cNvPr id="11" name="Customer">
              <a:extLst>
                <a:ext uri="{FF2B5EF4-FFF2-40B4-BE49-F238E27FC236}">
                  <a16:creationId xmlns:a16="http://schemas.microsoft.com/office/drawing/2014/main" id="{560F4D31-6B3E-4397-B10F-928BC830773F}"/>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dr:sp macro="" textlink="">
          <xdr:nvSpPr>
            <xdr:cNvPr id="0" name=""/>
            <xdr:cNvSpPr>
              <a:spLocks noTextEdit="1"/>
            </xdr:cNvSpPr>
          </xdr:nvSpPr>
          <xdr:spPr>
            <a:xfrm>
              <a:off x="16732585" y="1457058"/>
              <a:ext cx="1830294" cy="474225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178676</xdr:colOff>
      <xdr:row>6</xdr:row>
      <xdr:rowOff>149705</xdr:rowOff>
    </xdr:from>
    <xdr:to>
      <xdr:col>27</xdr:col>
      <xdr:colOff>178676</xdr:colOff>
      <xdr:row>18</xdr:row>
      <xdr:rowOff>97402</xdr:rowOff>
    </xdr:to>
    <mc:AlternateContent xmlns:mc="http://schemas.openxmlformats.org/markup-compatibility/2006">
      <mc:Choice xmlns:a14="http://schemas.microsoft.com/office/drawing/2010/main" Requires="a14">
        <xdr:graphicFrame macro="">
          <xdr:nvGraphicFramePr>
            <xdr:cNvPr id="12" name="Dish Ordered">
              <a:extLst>
                <a:ext uri="{FF2B5EF4-FFF2-40B4-BE49-F238E27FC236}">
                  <a16:creationId xmlns:a16="http://schemas.microsoft.com/office/drawing/2014/main" id="{5C4728E3-4747-43E4-8DE4-90470BAD1F77}"/>
                </a:ext>
              </a:extLst>
            </xdr:cNvPr>
            <xdr:cNvGraphicFramePr/>
          </xdr:nvGraphicFramePr>
          <xdr:xfrm>
            <a:off x="0" y="0"/>
            <a:ext cx="0" cy="0"/>
          </xdr:xfrm>
          <a:graphic>
            <a:graphicData uri="http://schemas.microsoft.com/office/drawing/2010/slicer">
              <sle:slicer xmlns:sle="http://schemas.microsoft.com/office/drawing/2010/slicer" name="Dish Ordered"/>
            </a:graphicData>
          </a:graphic>
        </xdr:graphicFrame>
      </mc:Choice>
      <mc:Fallback>
        <xdr:sp macro="" textlink="">
          <xdr:nvSpPr>
            <xdr:cNvPr id="0" name=""/>
            <xdr:cNvSpPr>
              <a:spLocks noTextEdit="1"/>
            </xdr:cNvSpPr>
          </xdr:nvSpPr>
          <xdr:spPr>
            <a:xfrm>
              <a:off x="14821029" y="1457058"/>
              <a:ext cx="1830294" cy="218887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97413</xdr:colOff>
      <xdr:row>6</xdr:row>
      <xdr:rowOff>149705</xdr:rowOff>
    </xdr:from>
    <xdr:to>
      <xdr:col>24</xdr:col>
      <xdr:colOff>97413</xdr:colOff>
      <xdr:row>17</xdr:row>
      <xdr:rowOff>52449</xdr:rowOff>
    </xdr:to>
    <mc:AlternateContent xmlns:mc="http://schemas.openxmlformats.org/markup-compatibility/2006">
      <mc:Choice xmlns:a14="http://schemas.microsoft.com/office/drawing/2010/main" Requires="a14">
        <xdr:graphicFrame macro="">
          <xdr:nvGraphicFramePr>
            <xdr:cNvPr id="13" name="Restaurant">
              <a:extLst>
                <a:ext uri="{FF2B5EF4-FFF2-40B4-BE49-F238E27FC236}">
                  <a16:creationId xmlns:a16="http://schemas.microsoft.com/office/drawing/2014/main" id="{7DCDE8EE-19CB-4CA1-A3A9-D0BE80948825}"/>
                </a:ext>
              </a:extLst>
            </xdr:cNvPr>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dr:sp macro="" textlink="">
          <xdr:nvSpPr>
            <xdr:cNvPr id="0" name=""/>
            <xdr:cNvSpPr>
              <a:spLocks noTextEdit="1"/>
            </xdr:cNvSpPr>
          </xdr:nvSpPr>
          <xdr:spPr>
            <a:xfrm>
              <a:off x="12909472" y="1457058"/>
              <a:ext cx="1830294" cy="195715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479275</xdr:colOff>
      <xdr:row>2</xdr:row>
      <xdr:rowOff>327670</xdr:rowOff>
    </xdr:from>
    <xdr:to>
      <xdr:col>11</xdr:col>
      <xdr:colOff>368196</xdr:colOff>
      <xdr:row>5</xdr:row>
      <xdr:rowOff>185722</xdr:rowOff>
    </xdr:to>
    <xdr:grpSp>
      <xdr:nvGrpSpPr>
        <xdr:cNvPr id="31" name="Group 30">
          <a:extLst>
            <a:ext uri="{FF2B5EF4-FFF2-40B4-BE49-F238E27FC236}">
              <a16:creationId xmlns:a16="http://schemas.microsoft.com/office/drawing/2014/main" id="{CDA7BE87-0B24-40D2-A11B-AC1352BF56BD}"/>
            </a:ext>
          </a:extLst>
        </xdr:cNvPr>
        <xdr:cNvGrpSpPr/>
      </xdr:nvGrpSpPr>
      <xdr:grpSpPr>
        <a:xfrm>
          <a:off x="5360059" y="701199"/>
          <a:ext cx="1719215" cy="605111"/>
          <a:chOff x="7587981" y="688564"/>
          <a:chExt cx="1713427" cy="608267"/>
        </a:xfrm>
      </xdr:grpSpPr>
      <xdr:sp macro="" textlink="">
        <xdr:nvSpPr>
          <xdr:cNvPr id="14" name="TextBox 13">
            <a:extLst>
              <a:ext uri="{FF2B5EF4-FFF2-40B4-BE49-F238E27FC236}">
                <a16:creationId xmlns:a16="http://schemas.microsoft.com/office/drawing/2014/main" id="{9AFD0942-1616-493D-A5B0-406F147BF78B}"/>
              </a:ext>
            </a:extLst>
          </xdr:cNvPr>
          <xdr:cNvSpPr txBox="1"/>
        </xdr:nvSpPr>
        <xdr:spPr>
          <a:xfrm>
            <a:off x="7587981" y="688564"/>
            <a:ext cx="1713427" cy="608267"/>
          </a:xfrm>
          <a:prstGeom prst="rect">
            <a:avLst/>
          </a:prstGeom>
          <a:noFill/>
          <a:ln w="19050" cmpd="sng">
            <a:solidFill>
              <a:srgbClr val="C00000"/>
            </a:solidFill>
          </a:ln>
          <a:effectLst>
            <a:innerShdw blurRad="63500" dist="50800" dir="13500000">
              <a:prstClr val="black">
                <a:alpha val="50000"/>
              </a:prstClr>
            </a:inn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Arial Rounded MT Bold" panose="020F0704030504030204" pitchFamily="34" charset="0"/>
              </a:rPr>
              <a:t>TOTAL REVENUE</a:t>
            </a:r>
            <a:endParaRPr lang="en-NG" sz="1400" b="1">
              <a:latin typeface="Arial Rounded MT Bold" panose="020F0704030504030204" pitchFamily="34" charset="0"/>
            </a:endParaRPr>
          </a:p>
        </xdr:txBody>
      </xdr:sp>
      <xdr:sp macro="" textlink="Insight3!L2">
        <xdr:nvSpPr>
          <xdr:cNvPr id="21" name="TextBox 20">
            <a:extLst>
              <a:ext uri="{FF2B5EF4-FFF2-40B4-BE49-F238E27FC236}">
                <a16:creationId xmlns:a16="http://schemas.microsoft.com/office/drawing/2014/main" id="{27CE761D-7D00-43BB-B443-2751059E8C17}"/>
              </a:ext>
            </a:extLst>
          </xdr:cNvPr>
          <xdr:cNvSpPr txBox="1"/>
        </xdr:nvSpPr>
        <xdr:spPr>
          <a:xfrm>
            <a:off x="7879023" y="983895"/>
            <a:ext cx="838594" cy="227670"/>
          </a:xfrm>
          <a:prstGeom prst="rect">
            <a:avLst/>
          </a:prstGeom>
          <a:solidFill>
            <a:schemeClr val="lt1"/>
          </a:solid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5444CF-8A9A-4617-ADFE-C65D12384060}" type="TxLink">
              <a:rPr lang="en-US" sz="1400" b="0" i="0" u="none" strike="noStrike">
                <a:solidFill>
                  <a:srgbClr val="000000"/>
                </a:solidFill>
                <a:latin typeface="Arial Rounded MT Bold" panose="020F0704030504030204" pitchFamily="34" charset="0"/>
                <a:ea typeface="Calibri"/>
                <a:cs typeface="Calibri"/>
              </a:rPr>
              <a:t>2180</a:t>
            </a:fld>
            <a:endParaRPr lang="en-NG" sz="1400">
              <a:latin typeface="Arial Rounded MT Bold" panose="020F0704030504030204" pitchFamily="34" charset="0"/>
            </a:endParaRPr>
          </a:p>
        </xdr:txBody>
      </xdr:sp>
    </xdr:grpSp>
    <xdr:clientData/>
  </xdr:twoCellAnchor>
  <xdr:twoCellAnchor>
    <xdr:from>
      <xdr:col>2</xdr:col>
      <xdr:colOff>161077</xdr:colOff>
      <xdr:row>2</xdr:row>
      <xdr:rowOff>327670</xdr:rowOff>
    </xdr:from>
    <xdr:to>
      <xdr:col>5</xdr:col>
      <xdr:colOff>104633</xdr:colOff>
      <xdr:row>5</xdr:row>
      <xdr:rowOff>176183</xdr:rowOff>
    </xdr:to>
    <xdr:grpSp>
      <xdr:nvGrpSpPr>
        <xdr:cNvPr id="30" name="Group 29">
          <a:extLst>
            <a:ext uri="{FF2B5EF4-FFF2-40B4-BE49-F238E27FC236}">
              <a16:creationId xmlns:a16="http://schemas.microsoft.com/office/drawing/2014/main" id="{5E7F0D9D-1717-4E87-A84B-B9B6E6C25397}"/>
            </a:ext>
          </a:extLst>
        </xdr:cNvPr>
        <xdr:cNvGrpSpPr/>
      </xdr:nvGrpSpPr>
      <xdr:grpSpPr>
        <a:xfrm>
          <a:off x="1381273" y="701199"/>
          <a:ext cx="1773850" cy="595572"/>
          <a:chOff x="5724737" y="688565"/>
          <a:chExt cx="1768063" cy="598728"/>
        </a:xfrm>
      </xdr:grpSpPr>
      <xdr:sp macro="" textlink="">
        <xdr:nvSpPr>
          <xdr:cNvPr id="22" name="TextBox 21">
            <a:extLst>
              <a:ext uri="{FF2B5EF4-FFF2-40B4-BE49-F238E27FC236}">
                <a16:creationId xmlns:a16="http://schemas.microsoft.com/office/drawing/2014/main" id="{41BCFC37-52A9-40E5-8BA0-8EE28874F8D2}"/>
              </a:ext>
            </a:extLst>
          </xdr:cNvPr>
          <xdr:cNvSpPr txBox="1"/>
        </xdr:nvSpPr>
        <xdr:spPr>
          <a:xfrm>
            <a:off x="5724737" y="688565"/>
            <a:ext cx="1768063" cy="598728"/>
          </a:xfrm>
          <a:prstGeom prst="rect">
            <a:avLst/>
          </a:prstGeom>
          <a:solidFill>
            <a:schemeClr val="lt1"/>
          </a:solidFill>
          <a:ln w="19050" cmpd="sng">
            <a:solidFill>
              <a:srgbClr val="C00000"/>
            </a:solidFill>
          </a:ln>
          <a:effectLst>
            <a:innerShdw blurRad="63500" dist="50800" dir="13500000">
              <a:prstClr val="black">
                <a:alpha val="50000"/>
              </a:prstClr>
            </a:inn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Arial Rounded MT Bold" panose="020F0704030504030204" pitchFamily="34" charset="0"/>
              </a:rPr>
              <a:t>TOTAL QUANTITY</a:t>
            </a:r>
            <a:endParaRPr lang="en-NG" sz="1400" b="1">
              <a:latin typeface="Arial Rounded MT Bold" panose="020F0704030504030204" pitchFamily="34" charset="0"/>
            </a:endParaRPr>
          </a:p>
        </xdr:txBody>
      </xdr:sp>
      <xdr:sp macro="" textlink="Sheet2!M17">
        <xdr:nvSpPr>
          <xdr:cNvPr id="24" name="TextBox 23">
            <a:extLst>
              <a:ext uri="{FF2B5EF4-FFF2-40B4-BE49-F238E27FC236}">
                <a16:creationId xmlns:a16="http://schemas.microsoft.com/office/drawing/2014/main" id="{40F37E38-34A9-48B9-A890-106605DACCD8}"/>
              </a:ext>
            </a:extLst>
          </xdr:cNvPr>
          <xdr:cNvSpPr txBox="1"/>
        </xdr:nvSpPr>
        <xdr:spPr>
          <a:xfrm>
            <a:off x="6253908" y="969194"/>
            <a:ext cx="486831" cy="279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06A165-89FB-4B4F-847B-7648295AE70F}" type="TxLink">
              <a:rPr lang="en-US" sz="1400" b="1" i="0" u="none" strike="noStrike">
                <a:solidFill>
                  <a:srgbClr val="000000"/>
                </a:solidFill>
                <a:latin typeface="Arial Rounded MT Bold" panose="020F0704030504030204" pitchFamily="34" charset="0"/>
                <a:ea typeface="Calibri"/>
                <a:cs typeface="Calibri"/>
              </a:rPr>
              <a:t>12</a:t>
            </a:fld>
            <a:endParaRPr lang="en-NG" sz="1400" b="1">
              <a:latin typeface="Arial Rounded MT Bold" panose="020F0704030504030204" pitchFamily="34" charset="0"/>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57.531033680556" createdVersion="6" refreshedVersion="6" minRefreshableVersion="3" recordCount="45" xr:uid="{00000000-000A-0000-FFFF-FFFF06000000}">
  <cacheSource type="worksheet">
    <worksheetSource name="Table1"/>
  </cacheSource>
  <cacheFields count="8">
    <cacheField name="Customer" numFmtId="0">
      <sharedItems count="28">
        <s v="Chris Smith"/>
        <s v="Sarah Rodriguez"/>
        <s v="No Name"/>
        <s v="Jane Brown"/>
        <s v="Michael Johnson"/>
        <s v="Emily Garcia"/>
        <s v="Sarah Williams"/>
        <s v="James Rodriguez"/>
        <s v="Jane Martinez"/>
        <s v="Emily Miller"/>
        <s v="James Brown"/>
        <s v="James Jones"/>
        <s v="James Martinez"/>
        <s v="Alex Smith"/>
        <s v="James Garcia"/>
        <s v="Sarah Jones"/>
        <s v="Alex Davis"/>
        <s v="Katie Martinez"/>
        <s v="Katie Jones"/>
        <s v="Michael Williams"/>
        <s v="Jane Miller"/>
        <s v="Laura Jones"/>
        <s v="Emily Johnson"/>
        <s v="Laura Williams"/>
        <s v="Chris Williams"/>
        <s v="Katie Johnson"/>
        <s v="Jane Garcia"/>
        <s v="Sarah Miller"/>
      </sharedItems>
    </cacheField>
    <cacheField name="Restaurant" numFmtId="0">
      <sharedItems/>
    </cacheField>
    <cacheField name="Dish Ordered" numFmtId="0">
      <sharedItems count="11">
        <s v="Sushi"/>
        <s v="Pasta"/>
        <s v="No dish ordered"/>
        <s v="Fries"/>
        <s v="Nuggets"/>
        <s v="Taco"/>
        <s v="Salad"/>
        <s v="Sandwich"/>
        <s v="Burger"/>
        <s v="Pizza"/>
        <s v="Wrap"/>
      </sharedItems>
    </cacheField>
    <cacheField name="Rating" numFmtId="0">
      <sharedItems containsSemiMixedTypes="0" containsString="0" containsNumber="1" containsInteger="1" minValue="1" maxValue="5"/>
    </cacheField>
    <cacheField name="Date of Visit" numFmtId="14">
      <sharedItems containsSemiMixedTypes="0" containsNonDate="0" containsDate="1" containsString="0" minDate="2023-01-01T00:00:00" maxDate="2023-02-05T00:00:00"/>
    </cacheField>
    <cacheField name="Feedback" numFmtId="0">
      <sharedItems/>
    </cacheField>
    <cacheField name="Price of Dish Ordered" numFmtId="0">
      <sharedItems containsSemiMixedTypes="0" containsString="0" containsNumber="1" containsInteger="1" minValue="5" maxValue="25"/>
    </cacheField>
    <cacheField name="Quantity" numFmtId="0">
      <sharedItems containsSemiMixedTypes="0" containsString="0" containsNumber="1" containsInteger="1" minValue="1" maxValue="5" count="5">
        <n v="4"/>
        <n v="3"/>
        <n v="1"/>
        <n v="5"/>
        <n v="2"/>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0.111575115741" createdVersion="6" refreshedVersion="6" minRefreshableVersion="3" recordCount="45" xr:uid="{CA4D0150-8593-4731-A53F-FFD551B65530}">
  <cacheSource type="worksheet">
    <worksheetSource name="Table2"/>
  </cacheSource>
  <cacheFields count="11">
    <cacheField name="Customer" numFmtId="0">
      <sharedItems count="28">
        <s v="Chris Smith"/>
        <s v="Sarah Rodriguez"/>
        <s v="No Name"/>
        <s v="Jane Brown"/>
        <s v="Michael Johnson"/>
        <s v="Emily Garcia"/>
        <s v="Sarah Williams"/>
        <s v="James Rodriguez"/>
        <s v="Jane Martinez"/>
        <s v="Emily Miller"/>
        <s v="James Brown"/>
        <s v="James Jones"/>
        <s v="James Martinez"/>
        <s v="Alex Smith"/>
        <s v="James Garcia"/>
        <s v="Sarah Jones"/>
        <s v="Alex Davis"/>
        <s v="Katie Martinez"/>
        <s v="Katie Jones"/>
        <s v="Michael Williams"/>
        <s v="Jane Miller"/>
        <s v="Laura Jones"/>
        <s v="Emily Johnson"/>
        <s v="Laura Williams"/>
        <s v="Chris Williams"/>
        <s v="Katie Johnson"/>
        <s v="Jane Garcia"/>
        <s v="Sarah Miller"/>
      </sharedItems>
    </cacheField>
    <cacheField name="Restaurant" numFmtId="0">
      <sharedItems count="6">
        <s v="McDonalds"/>
        <s v="Burger King"/>
        <s v="No Restaurant"/>
        <s v="Dominos"/>
        <s v="Subway"/>
        <s v="KFC"/>
      </sharedItems>
    </cacheField>
    <cacheField name="Dish Ordered" numFmtId="0">
      <sharedItems count="11">
        <s v="Sushi"/>
        <s v="Pasta"/>
        <s v="No dish ordered"/>
        <s v="Fries"/>
        <s v="Nuggets"/>
        <s v="Taco"/>
        <s v="Salad"/>
        <s v="Sandwich"/>
        <s v="Burger"/>
        <s v="Pizza"/>
        <s v="Wrap"/>
      </sharedItems>
    </cacheField>
    <cacheField name="Rating" numFmtId="0">
      <sharedItems containsSemiMixedTypes="0" containsString="0" containsNumber="1" containsInteger="1" minValue="1" maxValue="5"/>
    </cacheField>
    <cacheField name="Date of Visit" numFmtId="14">
      <sharedItems containsSemiMixedTypes="0" containsNonDate="0" containsDate="1" containsString="0" minDate="2023-01-01T00:00:00" maxDate="2023-02-05T00:00:00" count="31">
        <d v="2023-01-21T00:00:00"/>
        <d v="2023-01-22T00:00:00"/>
        <d v="2023-01-24T00:00:00"/>
        <d v="2023-02-03T00:00:00"/>
        <d v="2023-01-14T00:00:00"/>
        <d v="2023-02-04T00:00:00"/>
        <d v="2023-02-01T00:00:00"/>
        <d v="2023-01-31T00:00:00"/>
        <d v="2023-01-15T00:00:00"/>
        <d v="2023-01-18T00:00:00"/>
        <d v="2023-01-03T00:00:00"/>
        <d v="2023-01-26T00:00:00"/>
        <d v="2023-01-25T00:00:00"/>
        <d v="2023-02-02T00:00:00"/>
        <d v="2023-01-23T00:00:00"/>
        <d v="2023-01-04T00:00:00"/>
        <d v="2023-01-08T00:00:00"/>
        <d v="2023-01-20T00:00:00"/>
        <d v="2023-01-01T00:00:00"/>
        <d v="2023-01-19T00:00:00"/>
        <d v="2023-01-16T00:00:00"/>
        <d v="2023-01-29T00:00:00"/>
        <d v="2023-01-05T00:00:00"/>
        <d v="2023-01-02T00:00:00"/>
        <d v="2023-01-27T00:00:00"/>
        <d v="2023-01-13T00:00:00"/>
        <d v="2023-01-07T00:00:00"/>
        <d v="2023-01-17T00:00:00"/>
        <d v="2023-01-10T00:00:00"/>
        <d v="2023-01-09T00:00:00"/>
        <d v="2023-01-12T00:00:00"/>
      </sharedItems>
      <fieldGroup par="10" base="4">
        <rangePr groupBy="days" startDate="2023-01-01T00:00:00" endDate="2023-02-05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5/02/2023"/>
        </groupItems>
      </fieldGroup>
    </cacheField>
    <cacheField name="Feedback" numFmtId="0">
      <sharedItems/>
    </cacheField>
    <cacheField name="Price of Dish Ordered" numFmtId="0">
      <sharedItems containsSemiMixedTypes="0" containsString="0" containsNumber="1" containsInteger="1" minValue="5" maxValue="25"/>
    </cacheField>
    <cacheField name="Quantity" numFmtId="0">
      <sharedItems containsSemiMixedTypes="0" containsString="0" containsNumber="1" containsInteger="1" minValue="1" maxValue="5"/>
    </cacheField>
    <cacheField name="Revenue" numFmtId="0">
      <sharedItems containsSemiMixedTypes="0" containsString="0" containsNumber="1" containsInteger="1" minValue="5" maxValue="125"/>
    </cacheField>
    <cacheField name="Total_Revenue" numFmtId="0">
      <sharedItems containsString="0" containsBlank="1" containsNumber="1" containsInteger="1" minValue="2180" maxValue="2180"/>
    </cacheField>
    <cacheField name="Months" numFmtId="0" databaseField="0">
      <fieldGroup base="4">
        <rangePr groupBy="months" startDate="2023-01-01T00:00:00" endDate="2023-02-05T00:00:00"/>
        <groupItems count="14">
          <s v="&lt;01/01/2023"/>
          <s v="Jan"/>
          <s v="Feb"/>
          <s v="Mar"/>
          <s v="Apr"/>
          <s v="May"/>
          <s v="Jun"/>
          <s v="Jul"/>
          <s v="Aug"/>
          <s v="Sept"/>
          <s v="Oct"/>
          <s v="Nov"/>
          <s v="Dec"/>
          <s v="&gt;05/02/2023"/>
        </groupItems>
      </fieldGroup>
    </cacheField>
  </cacheFields>
  <extLst>
    <ext xmlns:x14="http://schemas.microsoft.com/office/spreadsheetml/2009/9/main" uri="{725AE2AE-9491-48be-B2B4-4EB974FC3084}">
      <x14:pivotCacheDefinition pivotCacheId="1548750159"/>
    </ext>
  </extLst>
</pivotCacheDefinition>
</file>

<file path=xl/pivotCache/pivotCacheRecords1.xml><?xml version="1.0" encoding="utf-8"?>
<pivotCacheRecords xmlns="http://schemas.openxmlformats.org/spreadsheetml/2006/main" xmlns:r="http://schemas.openxmlformats.org/officeDocument/2006/relationships" count="45">
  <r>
    <x v="0"/>
    <s v="McDonalds"/>
    <x v="0"/>
    <n v="2"/>
    <d v="2023-01-21T00:00:00"/>
    <s v="Good service"/>
    <n v="5"/>
    <x v="0"/>
  </r>
  <r>
    <x v="1"/>
    <s v="Burger King"/>
    <x v="1"/>
    <n v="1"/>
    <d v="2023-01-22T00:00:00"/>
    <s v="Good service"/>
    <n v="20"/>
    <x v="1"/>
  </r>
  <r>
    <x v="2"/>
    <s v="No Restaurant"/>
    <x v="2"/>
    <n v="2"/>
    <d v="2023-01-21T00:00:00"/>
    <s v="Good service"/>
    <n v="5"/>
    <x v="2"/>
  </r>
  <r>
    <x v="3"/>
    <s v="McDonalds"/>
    <x v="3"/>
    <n v="2"/>
    <d v="2023-01-24T00:00:00"/>
    <s v="Good service"/>
    <n v="5"/>
    <x v="2"/>
  </r>
  <r>
    <x v="4"/>
    <s v="McDonalds"/>
    <x v="2"/>
    <n v="4"/>
    <d v="2023-01-21T00:00:00"/>
    <s v="Good service"/>
    <n v="5"/>
    <x v="2"/>
  </r>
  <r>
    <x v="5"/>
    <s v="McDonalds"/>
    <x v="4"/>
    <n v="1"/>
    <d v="2023-02-03T00:00:00"/>
    <s v="Good service"/>
    <n v="25"/>
    <x v="3"/>
  </r>
  <r>
    <x v="6"/>
    <s v="McDonalds"/>
    <x v="5"/>
    <n v="5"/>
    <d v="2023-01-14T00:00:00"/>
    <s v="Good service"/>
    <n v="10"/>
    <x v="0"/>
  </r>
  <r>
    <x v="7"/>
    <s v="Dominos"/>
    <x v="0"/>
    <n v="2"/>
    <d v="2023-02-04T00:00:00"/>
    <s v="Good service"/>
    <n v="20"/>
    <x v="3"/>
  </r>
  <r>
    <x v="8"/>
    <s v="Subway"/>
    <x v="1"/>
    <n v="1"/>
    <d v="2023-02-01T00:00:00"/>
    <s v="Good service"/>
    <n v="25"/>
    <x v="0"/>
  </r>
  <r>
    <x v="2"/>
    <s v="KFC"/>
    <x v="6"/>
    <n v="3"/>
    <d v="2023-01-21T00:00:00"/>
    <s v="Good service"/>
    <n v="25"/>
    <x v="3"/>
  </r>
  <r>
    <x v="9"/>
    <s v="McDonalds"/>
    <x v="5"/>
    <n v="1"/>
    <d v="2023-01-31T00:00:00"/>
    <s v="Good service"/>
    <n v="25"/>
    <x v="3"/>
  </r>
  <r>
    <x v="7"/>
    <s v="Dominos"/>
    <x v="0"/>
    <n v="2"/>
    <d v="2023-02-04T00:00:00"/>
    <s v="Good service"/>
    <n v="25"/>
    <x v="1"/>
  </r>
  <r>
    <x v="10"/>
    <s v="McDonalds"/>
    <x v="0"/>
    <n v="1"/>
    <d v="2023-01-15T00:00:00"/>
    <s v="Good service"/>
    <n v="25"/>
    <x v="3"/>
  </r>
  <r>
    <x v="11"/>
    <s v="No Restaurant"/>
    <x v="3"/>
    <n v="2"/>
    <d v="2023-01-18T00:00:00"/>
    <s v="Good service"/>
    <n v="15"/>
    <x v="4"/>
  </r>
  <r>
    <x v="12"/>
    <s v="KFC"/>
    <x v="6"/>
    <n v="1"/>
    <d v="2023-01-03T00:00:00"/>
    <s v="Good service"/>
    <n v="20"/>
    <x v="1"/>
  </r>
  <r>
    <x v="13"/>
    <s v="Dominos"/>
    <x v="3"/>
    <n v="2"/>
    <d v="2023-01-26T00:00:00"/>
    <s v="Good service"/>
    <n v="25"/>
    <x v="3"/>
  </r>
  <r>
    <x v="2"/>
    <s v="No Restaurant"/>
    <x v="2"/>
    <n v="2"/>
    <d v="2023-01-21T00:00:00"/>
    <s v="Good service"/>
    <n v="20"/>
    <x v="2"/>
  </r>
  <r>
    <x v="14"/>
    <s v="Burger King"/>
    <x v="2"/>
    <n v="4"/>
    <d v="2023-01-25T00:00:00"/>
    <s v="Good service"/>
    <n v="15"/>
    <x v="4"/>
  </r>
  <r>
    <x v="2"/>
    <s v="No Restaurant"/>
    <x v="2"/>
    <n v="2"/>
    <d v="2023-01-21T00:00:00"/>
    <s v="Good service"/>
    <n v="15"/>
    <x v="4"/>
  </r>
  <r>
    <x v="2"/>
    <s v="KFC"/>
    <x v="6"/>
    <n v="3"/>
    <d v="2023-02-02T00:00:00"/>
    <s v="Good service"/>
    <n v="20"/>
    <x v="4"/>
  </r>
  <r>
    <x v="5"/>
    <s v="McDonalds"/>
    <x v="7"/>
    <n v="3"/>
    <d v="2023-01-21T00:00:00"/>
    <s v="Good service"/>
    <n v="5"/>
    <x v="1"/>
  </r>
  <r>
    <x v="15"/>
    <s v="Burger King"/>
    <x v="3"/>
    <n v="1"/>
    <d v="2023-01-23T00:00:00"/>
    <s v="Good service"/>
    <n v="10"/>
    <x v="3"/>
  </r>
  <r>
    <x v="16"/>
    <s v="Dominos"/>
    <x v="7"/>
    <n v="1"/>
    <d v="2023-01-04T00:00:00"/>
    <s v="Good service"/>
    <n v="5"/>
    <x v="1"/>
  </r>
  <r>
    <x v="17"/>
    <s v="Subway"/>
    <x v="0"/>
    <n v="5"/>
    <d v="2023-01-21T00:00:00"/>
    <s v="Good service"/>
    <n v="17"/>
    <x v="2"/>
  </r>
  <r>
    <x v="18"/>
    <s v="Subway"/>
    <x v="7"/>
    <n v="4"/>
    <d v="2023-01-08T00:00:00"/>
    <s v="Good service"/>
    <n v="5"/>
    <x v="2"/>
  </r>
  <r>
    <x v="2"/>
    <s v="No Restaurant"/>
    <x v="2"/>
    <n v="2"/>
    <d v="2023-01-21T00:00:00"/>
    <s v="Good service"/>
    <n v="25"/>
    <x v="1"/>
  </r>
  <r>
    <x v="3"/>
    <s v="No Restaurant"/>
    <x v="4"/>
    <n v="1"/>
    <d v="2023-01-20T00:00:00"/>
    <s v="Good service"/>
    <n v="15"/>
    <x v="2"/>
  </r>
  <r>
    <x v="1"/>
    <s v="Burger King"/>
    <x v="1"/>
    <n v="1"/>
    <d v="2023-01-22T00:00:00"/>
    <s v="Good service"/>
    <n v="5"/>
    <x v="1"/>
  </r>
  <r>
    <x v="10"/>
    <s v="Dominos"/>
    <x v="7"/>
    <n v="4"/>
    <d v="2023-01-01T00:00:00"/>
    <s v="Good service"/>
    <n v="13"/>
    <x v="3"/>
  </r>
  <r>
    <x v="2"/>
    <s v="Burger King"/>
    <x v="8"/>
    <n v="3"/>
    <d v="2023-01-19T00:00:00"/>
    <s v="Good service"/>
    <n v="23"/>
    <x v="4"/>
  </r>
  <r>
    <x v="19"/>
    <s v="McDonalds"/>
    <x v="0"/>
    <n v="3"/>
    <d v="2023-01-16T00:00:00"/>
    <s v="Good service"/>
    <n v="10"/>
    <x v="2"/>
  </r>
  <r>
    <x v="18"/>
    <s v="Subway"/>
    <x v="7"/>
    <n v="4"/>
    <d v="2023-01-08T00:00:00"/>
    <s v="Good service"/>
    <n v="20"/>
    <x v="1"/>
  </r>
  <r>
    <x v="2"/>
    <s v="Burger King"/>
    <x v="8"/>
    <n v="3"/>
    <d v="2023-01-19T00:00:00"/>
    <s v="Good service"/>
    <n v="20"/>
    <x v="1"/>
  </r>
  <r>
    <x v="20"/>
    <s v="McDonalds"/>
    <x v="9"/>
    <n v="2"/>
    <d v="2023-01-29T00:00:00"/>
    <s v="Good service"/>
    <n v="25"/>
    <x v="2"/>
  </r>
  <r>
    <x v="21"/>
    <s v="KFC"/>
    <x v="2"/>
    <n v="1"/>
    <d v="2023-01-05T00:00:00"/>
    <s v="Good service"/>
    <n v="10"/>
    <x v="1"/>
  </r>
  <r>
    <x v="21"/>
    <s v="No Restaurant"/>
    <x v="10"/>
    <n v="1"/>
    <d v="2023-01-02T00:00:00"/>
    <s v="Good service"/>
    <n v="20"/>
    <x v="2"/>
  </r>
  <r>
    <x v="22"/>
    <s v="KFC"/>
    <x v="7"/>
    <n v="2"/>
    <d v="2023-01-27T00:00:00"/>
    <s v="Good service"/>
    <n v="20"/>
    <x v="4"/>
  </r>
  <r>
    <x v="2"/>
    <s v="No Restaurant"/>
    <x v="2"/>
    <n v="2"/>
    <d v="2023-01-21T00:00:00"/>
    <s v="Good service"/>
    <n v="10"/>
    <x v="2"/>
  </r>
  <r>
    <x v="2"/>
    <s v="Dominos"/>
    <x v="3"/>
    <n v="1"/>
    <d v="2023-01-13T00:00:00"/>
    <s v="Good service"/>
    <n v="14"/>
    <x v="1"/>
  </r>
  <r>
    <x v="23"/>
    <s v="Subway"/>
    <x v="1"/>
    <n v="1"/>
    <d v="2023-01-07T00:00:00"/>
    <s v="Good service"/>
    <n v="20"/>
    <x v="2"/>
  </r>
  <r>
    <x v="6"/>
    <s v="McDonalds"/>
    <x v="5"/>
    <n v="5"/>
    <d v="2023-01-14T00:00:00"/>
    <s v="Good service"/>
    <n v="10"/>
    <x v="3"/>
  </r>
  <r>
    <x v="24"/>
    <s v="McDonalds"/>
    <x v="7"/>
    <n v="2"/>
    <d v="2023-01-17T00:00:00"/>
    <s v="Good service"/>
    <n v="20"/>
    <x v="0"/>
  </r>
  <r>
    <x v="25"/>
    <s v="No Restaurant"/>
    <x v="1"/>
    <n v="1"/>
    <d v="2023-01-10T00:00:00"/>
    <s v="Good service"/>
    <n v="20"/>
    <x v="2"/>
  </r>
  <r>
    <x v="26"/>
    <s v="Subway"/>
    <x v="8"/>
    <n v="5"/>
    <d v="2023-01-09T00:00:00"/>
    <s v="Good service"/>
    <n v="25"/>
    <x v="3"/>
  </r>
  <r>
    <x v="27"/>
    <s v="Dominos"/>
    <x v="2"/>
    <n v="3"/>
    <d v="2023-01-12T00:00:00"/>
    <s v="Good service"/>
    <n v="5"/>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x v="0"/>
    <x v="0"/>
    <x v="0"/>
    <n v="2"/>
    <x v="0"/>
    <s v="Good service"/>
    <n v="5"/>
    <n v="4"/>
    <n v="20"/>
    <n v="2180"/>
  </r>
  <r>
    <x v="1"/>
    <x v="1"/>
    <x v="1"/>
    <n v="1"/>
    <x v="1"/>
    <s v="Good service"/>
    <n v="20"/>
    <n v="3"/>
    <n v="60"/>
    <m/>
  </r>
  <r>
    <x v="2"/>
    <x v="2"/>
    <x v="2"/>
    <n v="2"/>
    <x v="0"/>
    <s v="Good service"/>
    <n v="5"/>
    <n v="1"/>
    <n v="5"/>
    <m/>
  </r>
  <r>
    <x v="3"/>
    <x v="0"/>
    <x v="3"/>
    <n v="2"/>
    <x v="2"/>
    <s v="Good service"/>
    <n v="5"/>
    <n v="1"/>
    <n v="5"/>
    <m/>
  </r>
  <r>
    <x v="4"/>
    <x v="0"/>
    <x v="2"/>
    <n v="4"/>
    <x v="0"/>
    <s v="Good service"/>
    <n v="5"/>
    <n v="1"/>
    <n v="5"/>
    <m/>
  </r>
  <r>
    <x v="5"/>
    <x v="0"/>
    <x v="4"/>
    <n v="1"/>
    <x v="3"/>
    <s v="Good service"/>
    <n v="25"/>
    <n v="5"/>
    <n v="125"/>
    <m/>
  </r>
  <r>
    <x v="6"/>
    <x v="0"/>
    <x v="5"/>
    <n v="5"/>
    <x v="4"/>
    <s v="Good service"/>
    <n v="10"/>
    <n v="4"/>
    <n v="40"/>
    <m/>
  </r>
  <r>
    <x v="7"/>
    <x v="3"/>
    <x v="0"/>
    <n v="2"/>
    <x v="5"/>
    <s v="Good service"/>
    <n v="20"/>
    <n v="5"/>
    <n v="100"/>
    <m/>
  </r>
  <r>
    <x v="8"/>
    <x v="4"/>
    <x v="1"/>
    <n v="1"/>
    <x v="6"/>
    <s v="Good service"/>
    <n v="25"/>
    <n v="4"/>
    <n v="100"/>
    <m/>
  </r>
  <r>
    <x v="2"/>
    <x v="5"/>
    <x v="6"/>
    <n v="3"/>
    <x v="0"/>
    <s v="Good service"/>
    <n v="25"/>
    <n v="5"/>
    <n v="125"/>
    <m/>
  </r>
  <r>
    <x v="9"/>
    <x v="0"/>
    <x v="5"/>
    <n v="1"/>
    <x v="7"/>
    <s v="Good service"/>
    <n v="25"/>
    <n v="5"/>
    <n v="125"/>
    <m/>
  </r>
  <r>
    <x v="7"/>
    <x v="3"/>
    <x v="0"/>
    <n v="2"/>
    <x v="5"/>
    <s v="Good service"/>
    <n v="25"/>
    <n v="3"/>
    <n v="75"/>
    <m/>
  </r>
  <r>
    <x v="10"/>
    <x v="0"/>
    <x v="0"/>
    <n v="1"/>
    <x v="8"/>
    <s v="Good service"/>
    <n v="25"/>
    <n v="5"/>
    <n v="125"/>
    <m/>
  </r>
  <r>
    <x v="11"/>
    <x v="2"/>
    <x v="3"/>
    <n v="2"/>
    <x v="9"/>
    <s v="Good service"/>
    <n v="15"/>
    <n v="2"/>
    <n v="30"/>
    <m/>
  </r>
  <r>
    <x v="12"/>
    <x v="5"/>
    <x v="6"/>
    <n v="1"/>
    <x v="10"/>
    <s v="Good service"/>
    <n v="20"/>
    <n v="3"/>
    <n v="60"/>
    <m/>
  </r>
  <r>
    <x v="13"/>
    <x v="3"/>
    <x v="3"/>
    <n v="2"/>
    <x v="11"/>
    <s v="Good service"/>
    <n v="25"/>
    <n v="5"/>
    <n v="125"/>
    <m/>
  </r>
  <r>
    <x v="2"/>
    <x v="2"/>
    <x v="2"/>
    <n v="2"/>
    <x v="0"/>
    <s v="Good service"/>
    <n v="20"/>
    <n v="1"/>
    <n v="20"/>
    <m/>
  </r>
  <r>
    <x v="14"/>
    <x v="1"/>
    <x v="2"/>
    <n v="4"/>
    <x v="12"/>
    <s v="Good service"/>
    <n v="15"/>
    <n v="2"/>
    <n v="30"/>
    <m/>
  </r>
  <r>
    <x v="2"/>
    <x v="2"/>
    <x v="2"/>
    <n v="2"/>
    <x v="0"/>
    <s v="Good service"/>
    <n v="15"/>
    <n v="2"/>
    <n v="30"/>
    <m/>
  </r>
  <r>
    <x v="2"/>
    <x v="5"/>
    <x v="6"/>
    <n v="3"/>
    <x v="13"/>
    <s v="Good service"/>
    <n v="20"/>
    <n v="2"/>
    <n v="40"/>
    <m/>
  </r>
  <r>
    <x v="5"/>
    <x v="0"/>
    <x v="7"/>
    <n v="3"/>
    <x v="0"/>
    <s v="Good service"/>
    <n v="5"/>
    <n v="3"/>
    <n v="15"/>
    <m/>
  </r>
  <r>
    <x v="15"/>
    <x v="1"/>
    <x v="3"/>
    <n v="1"/>
    <x v="14"/>
    <s v="Good service"/>
    <n v="10"/>
    <n v="5"/>
    <n v="50"/>
    <m/>
  </r>
  <r>
    <x v="16"/>
    <x v="3"/>
    <x v="7"/>
    <n v="1"/>
    <x v="15"/>
    <s v="Good service"/>
    <n v="5"/>
    <n v="3"/>
    <n v="15"/>
    <m/>
  </r>
  <r>
    <x v="17"/>
    <x v="4"/>
    <x v="0"/>
    <n v="5"/>
    <x v="0"/>
    <s v="Good service"/>
    <n v="17"/>
    <n v="1"/>
    <n v="17"/>
    <m/>
  </r>
  <r>
    <x v="18"/>
    <x v="4"/>
    <x v="7"/>
    <n v="4"/>
    <x v="16"/>
    <s v="Good service"/>
    <n v="5"/>
    <n v="1"/>
    <n v="5"/>
    <m/>
  </r>
  <r>
    <x v="2"/>
    <x v="2"/>
    <x v="2"/>
    <n v="2"/>
    <x v="0"/>
    <s v="Good service"/>
    <n v="25"/>
    <n v="3"/>
    <n v="75"/>
    <m/>
  </r>
  <r>
    <x v="3"/>
    <x v="2"/>
    <x v="4"/>
    <n v="1"/>
    <x v="17"/>
    <s v="Good service"/>
    <n v="15"/>
    <n v="1"/>
    <n v="15"/>
    <m/>
  </r>
  <r>
    <x v="1"/>
    <x v="1"/>
    <x v="1"/>
    <n v="1"/>
    <x v="1"/>
    <s v="Good service"/>
    <n v="5"/>
    <n v="3"/>
    <n v="15"/>
    <m/>
  </r>
  <r>
    <x v="10"/>
    <x v="3"/>
    <x v="7"/>
    <n v="4"/>
    <x v="18"/>
    <s v="Good service"/>
    <n v="13"/>
    <n v="5"/>
    <n v="65"/>
    <m/>
  </r>
  <r>
    <x v="2"/>
    <x v="1"/>
    <x v="8"/>
    <n v="3"/>
    <x v="19"/>
    <s v="Good service"/>
    <n v="23"/>
    <n v="2"/>
    <n v="46"/>
    <m/>
  </r>
  <r>
    <x v="19"/>
    <x v="0"/>
    <x v="0"/>
    <n v="3"/>
    <x v="20"/>
    <s v="Good service"/>
    <n v="10"/>
    <n v="1"/>
    <n v="10"/>
    <m/>
  </r>
  <r>
    <x v="18"/>
    <x v="4"/>
    <x v="7"/>
    <n v="4"/>
    <x v="16"/>
    <s v="Good service"/>
    <n v="20"/>
    <n v="3"/>
    <n v="60"/>
    <m/>
  </r>
  <r>
    <x v="2"/>
    <x v="1"/>
    <x v="8"/>
    <n v="3"/>
    <x v="19"/>
    <s v="Good service"/>
    <n v="20"/>
    <n v="3"/>
    <n v="60"/>
    <m/>
  </r>
  <r>
    <x v="20"/>
    <x v="0"/>
    <x v="9"/>
    <n v="2"/>
    <x v="21"/>
    <s v="Good service"/>
    <n v="25"/>
    <n v="1"/>
    <n v="25"/>
    <m/>
  </r>
  <r>
    <x v="21"/>
    <x v="5"/>
    <x v="2"/>
    <n v="1"/>
    <x v="22"/>
    <s v="Good service"/>
    <n v="10"/>
    <n v="3"/>
    <n v="30"/>
    <m/>
  </r>
  <r>
    <x v="21"/>
    <x v="2"/>
    <x v="10"/>
    <n v="1"/>
    <x v="23"/>
    <s v="Good service"/>
    <n v="20"/>
    <n v="1"/>
    <n v="20"/>
    <m/>
  </r>
  <r>
    <x v="22"/>
    <x v="5"/>
    <x v="7"/>
    <n v="2"/>
    <x v="24"/>
    <s v="Good service"/>
    <n v="20"/>
    <n v="2"/>
    <n v="40"/>
    <m/>
  </r>
  <r>
    <x v="2"/>
    <x v="2"/>
    <x v="2"/>
    <n v="2"/>
    <x v="0"/>
    <s v="Good service"/>
    <n v="10"/>
    <n v="1"/>
    <n v="10"/>
    <m/>
  </r>
  <r>
    <x v="2"/>
    <x v="3"/>
    <x v="3"/>
    <n v="1"/>
    <x v="25"/>
    <s v="Good service"/>
    <n v="14"/>
    <n v="3"/>
    <n v="42"/>
    <m/>
  </r>
  <r>
    <x v="23"/>
    <x v="4"/>
    <x v="1"/>
    <n v="1"/>
    <x v="26"/>
    <s v="Good service"/>
    <n v="20"/>
    <n v="1"/>
    <n v="20"/>
    <m/>
  </r>
  <r>
    <x v="6"/>
    <x v="0"/>
    <x v="5"/>
    <n v="5"/>
    <x v="4"/>
    <s v="Good service"/>
    <n v="10"/>
    <n v="5"/>
    <n v="50"/>
    <m/>
  </r>
  <r>
    <x v="24"/>
    <x v="0"/>
    <x v="7"/>
    <n v="2"/>
    <x v="27"/>
    <s v="Good service"/>
    <n v="20"/>
    <n v="4"/>
    <n v="80"/>
    <m/>
  </r>
  <r>
    <x v="25"/>
    <x v="2"/>
    <x v="1"/>
    <n v="1"/>
    <x v="28"/>
    <s v="Good service"/>
    <n v="20"/>
    <n v="1"/>
    <n v="20"/>
    <m/>
  </r>
  <r>
    <x v="26"/>
    <x v="4"/>
    <x v="8"/>
    <n v="5"/>
    <x v="29"/>
    <s v="Good service"/>
    <n v="25"/>
    <n v="5"/>
    <n v="125"/>
    <m/>
  </r>
  <r>
    <x v="27"/>
    <x v="3"/>
    <x v="2"/>
    <n v="3"/>
    <x v="30"/>
    <s v="Good service"/>
    <n v="5"/>
    <n v="5"/>
    <n v="2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3:H15" firstHeaderRow="1" firstDataRow="1" firstDataCol="1"/>
  <pivotFields count="8">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showAll="0"/>
    <pivotField axis="axisRow" showAll="0">
      <items count="12">
        <item x="8"/>
        <item x="3"/>
        <item x="2"/>
        <item x="4"/>
        <item x="1"/>
        <item x="9"/>
        <item x="6"/>
        <item x="7"/>
        <item x="0"/>
        <item x="5"/>
        <item x="10"/>
        <item t="default"/>
      </items>
    </pivotField>
    <pivotField showAll="0"/>
    <pivotField numFmtId="14" showAll="0"/>
    <pivotField showAll="0"/>
    <pivotField dataField="1" showAll="0"/>
    <pivotField showAll="0"/>
  </pivotFields>
  <rowFields count="1">
    <field x="2"/>
  </rowFields>
  <rowItems count="12">
    <i>
      <x/>
    </i>
    <i>
      <x v="1"/>
    </i>
    <i>
      <x v="2"/>
    </i>
    <i>
      <x v="3"/>
    </i>
    <i>
      <x v="4"/>
    </i>
    <i>
      <x v="5"/>
    </i>
    <i>
      <x v="6"/>
    </i>
    <i>
      <x v="7"/>
    </i>
    <i>
      <x v="8"/>
    </i>
    <i>
      <x v="9"/>
    </i>
    <i>
      <x v="10"/>
    </i>
    <i t="grand">
      <x/>
    </i>
  </rowItems>
  <colItems count="1">
    <i/>
  </colItems>
  <dataFields count="1">
    <dataField name="Sum of Price of Dish Ordere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3:F15" firstHeaderRow="1" firstDataRow="1" firstDataCol="1"/>
  <pivotFields count="8">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showAll="0"/>
    <pivotField axis="axisRow" showAll="0">
      <items count="12">
        <item x="8"/>
        <item x="3"/>
        <item x="2"/>
        <item x="4"/>
        <item x="1"/>
        <item x="9"/>
        <item x="6"/>
        <item x="7"/>
        <item x="0"/>
        <item x="5"/>
        <item x="10"/>
        <item t="default"/>
      </items>
    </pivotField>
    <pivotField showAll="0"/>
    <pivotField numFmtId="14" showAll="0"/>
    <pivotField showAll="0"/>
    <pivotField dataField="1" showAll="0"/>
    <pivotField showAll="0"/>
  </pivotFields>
  <rowFields count="1">
    <field x="2"/>
  </rowFields>
  <rowItems count="12">
    <i>
      <x/>
    </i>
    <i>
      <x v="1"/>
    </i>
    <i>
      <x v="2"/>
    </i>
    <i>
      <x v="3"/>
    </i>
    <i>
      <x v="4"/>
    </i>
    <i>
      <x v="5"/>
    </i>
    <i>
      <x v="6"/>
    </i>
    <i>
      <x v="7"/>
    </i>
    <i>
      <x v="8"/>
    </i>
    <i>
      <x v="9"/>
    </i>
    <i>
      <x v="10"/>
    </i>
    <i t="grand">
      <x/>
    </i>
  </rowItems>
  <colItems count="1">
    <i/>
  </colItems>
  <dataFields count="1">
    <dataField name="Average of Price of Dish Ordered" fld="6"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32" firstHeaderRow="1" firstDataRow="1" firstDataCol="1"/>
  <pivotFields count="8">
    <pivotField axis="axisRow" dataField="1"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showAll="0"/>
    <pivotField showAll="0"/>
    <pivotField showAll="0"/>
    <pivotField numFmtId="14" showAll="0"/>
    <pivotField showAll="0"/>
    <pivotField showAll="0"/>
    <pivotField showAll="0"/>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Count of Custom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17:J55" firstHeaderRow="1" firstDataRow="1" firstDataCol="1"/>
  <pivotFields count="8">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showAll="0"/>
    <pivotField axis="axisRow" showAll="0">
      <items count="12">
        <item x="8"/>
        <item x="3"/>
        <item x="2"/>
        <item x="4"/>
        <item x="1"/>
        <item x="9"/>
        <item x="6"/>
        <item x="7"/>
        <item x="0"/>
        <item x="5"/>
        <item x="10"/>
        <item t="default"/>
      </items>
    </pivotField>
    <pivotField showAll="0"/>
    <pivotField numFmtId="14" showAll="0"/>
    <pivotField showAll="0"/>
    <pivotField showAll="0"/>
    <pivotField axis="axisRow" dataField="1" showAll="0">
      <items count="6">
        <item x="2"/>
        <item x="4"/>
        <item x="1"/>
        <item x="0"/>
        <item x="3"/>
        <item t="default"/>
      </items>
    </pivotField>
  </pivotFields>
  <rowFields count="2">
    <field x="7"/>
    <field x="2"/>
  </rowFields>
  <rowItems count="38">
    <i>
      <x/>
    </i>
    <i r="1">
      <x v="1"/>
    </i>
    <i r="1">
      <x v="2"/>
    </i>
    <i r="1">
      <x v="3"/>
    </i>
    <i r="1">
      <x v="4"/>
    </i>
    <i r="1">
      <x v="5"/>
    </i>
    <i r="1">
      <x v="7"/>
    </i>
    <i r="1">
      <x v="8"/>
    </i>
    <i r="1">
      <x v="10"/>
    </i>
    <i>
      <x v="1"/>
    </i>
    <i r="1">
      <x/>
    </i>
    <i r="1">
      <x v="1"/>
    </i>
    <i r="1">
      <x v="2"/>
    </i>
    <i r="1">
      <x v="6"/>
    </i>
    <i r="1">
      <x v="7"/>
    </i>
    <i>
      <x v="2"/>
    </i>
    <i r="1">
      <x/>
    </i>
    <i r="1">
      <x v="1"/>
    </i>
    <i r="1">
      <x v="2"/>
    </i>
    <i r="1">
      <x v="4"/>
    </i>
    <i r="1">
      <x v="6"/>
    </i>
    <i r="1">
      <x v="7"/>
    </i>
    <i r="1">
      <x v="8"/>
    </i>
    <i>
      <x v="3"/>
    </i>
    <i r="1">
      <x v="4"/>
    </i>
    <i r="1">
      <x v="7"/>
    </i>
    <i r="1">
      <x v="8"/>
    </i>
    <i r="1">
      <x v="9"/>
    </i>
    <i>
      <x v="4"/>
    </i>
    <i r="1">
      <x/>
    </i>
    <i r="1">
      <x v="1"/>
    </i>
    <i r="1">
      <x v="2"/>
    </i>
    <i r="1">
      <x v="3"/>
    </i>
    <i r="1">
      <x v="6"/>
    </i>
    <i r="1">
      <x v="7"/>
    </i>
    <i r="1">
      <x v="8"/>
    </i>
    <i r="1">
      <x v="9"/>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17:H29" firstHeaderRow="1" firstDataRow="1" firstDataCol="1"/>
  <pivotFields count="8">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showAll="0"/>
    <pivotField axis="axisRow" showAll="0">
      <items count="12">
        <item x="8"/>
        <item x="3"/>
        <item x="2"/>
        <item x="4"/>
        <item x="1"/>
        <item x="9"/>
        <item x="6"/>
        <item x="7"/>
        <item x="0"/>
        <item x="5"/>
        <item x="10"/>
        <item t="default"/>
      </items>
    </pivotField>
    <pivotField showAll="0"/>
    <pivotField numFmtId="14" showAll="0"/>
    <pivotField showAll="0"/>
    <pivotField dataField="1" showAll="0"/>
    <pivotField showAll="0"/>
  </pivotFields>
  <rowFields count="1">
    <field x="2"/>
  </rowFields>
  <rowItems count="12">
    <i>
      <x/>
    </i>
    <i>
      <x v="1"/>
    </i>
    <i>
      <x v="2"/>
    </i>
    <i>
      <x v="3"/>
    </i>
    <i>
      <x v="4"/>
    </i>
    <i>
      <x v="5"/>
    </i>
    <i>
      <x v="6"/>
    </i>
    <i>
      <x v="7"/>
    </i>
    <i>
      <x v="8"/>
    </i>
    <i>
      <x v="9"/>
    </i>
    <i>
      <x v="10"/>
    </i>
    <i t="grand">
      <x/>
    </i>
  </rowItems>
  <colItems count="1">
    <i/>
  </colItems>
  <dataFields count="1">
    <dataField name="Min of Price of Dish Ordered" fld="6" subtotal="min"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17:F29" firstHeaderRow="1" firstDataRow="1" firstDataCol="1"/>
  <pivotFields count="8">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showAll="0"/>
    <pivotField axis="axisRow" showAll="0">
      <items count="12">
        <item x="8"/>
        <item x="3"/>
        <item x="2"/>
        <item x="4"/>
        <item x="1"/>
        <item x="9"/>
        <item x="6"/>
        <item x="7"/>
        <item x="0"/>
        <item x="5"/>
        <item x="10"/>
        <item t="default"/>
      </items>
    </pivotField>
    <pivotField showAll="0"/>
    <pivotField numFmtId="14" showAll="0"/>
    <pivotField showAll="0"/>
    <pivotField dataField="1" showAll="0"/>
    <pivotField showAll="0"/>
  </pivotFields>
  <rowFields count="1">
    <field x="2"/>
  </rowFields>
  <rowItems count="12">
    <i>
      <x/>
    </i>
    <i>
      <x v="1"/>
    </i>
    <i>
      <x v="2"/>
    </i>
    <i>
      <x v="3"/>
    </i>
    <i>
      <x v="4"/>
    </i>
    <i>
      <x v="5"/>
    </i>
    <i>
      <x v="6"/>
    </i>
    <i>
      <x v="7"/>
    </i>
    <i>
      <x v="8"/>
    </i>
    <i>
      <x v="9"/>
    </i>
    <i>
      <x v="10"/>
    </i>
    <i t="grand">
      <x/>
    </i>
  </rowItems>
  <colItems count="1">
    <i/>
  </colItems>
  <dataFields count="1">
    <dataField name="Max of Price of Dish Ordered" fld="6" subtotal="max"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15" firstHeaderRow="0" firstDataRow="1" firstDataCol="1"/>
  <pivotFields count="8">
    <pivotField showAll="0"/>
    <pivotField showAll="0"/>
    <pivotField axis="axisRow" showAll="0">
      <items count="12">
        <item x="8"/>
        <item x="3"/>
        <item x="2"/>
        <item x="4"/>
        <item x="1"/>
        <item x="9"/>
        <item x="6"/>
        <item x="7"/>
        <item x="0"/>
        <item x="5"/>
        <item x="10"/>
        <item t="default"/>
      </items>
    </pivotField>
    <pivotField showAll="0"/>
    <pivotField numFmtId="14" showAll="0"/>
    <pivotField showAll="0"/>
    <pivotField dataField="1" showAll="0"/>
    <pivotField dataField="1" showAll="0"/>
  </pivotFields>
  <rowFields count="1">
    <field x="2"/>
  </rowFields>
  <rowItems count="12">
    <i>
      <x/>
    </i>
    <i>
      <x v="1"/>
    </i>
    <i>
      <x v="2"/>
    </i>
    <i>
      <x v="3"/>
    </i>
    <i>
      <x v="4"/>
    </i>
    <i>
      <x v="5"/>
    </i>
    <i>
      <x v="6"/>
    </i>
    <i>
      <x v="7"/>
    </i>
    <i>
      <x v="8"/>
    </i>
    <i>
      <x v="9"/>
    </i>
    <i>
      <x v="10"/>
    </i>
    <i t="grand">
      <x/>
    </i>
  </rowItems>
  <colFields count="1">
    <field x="-2"/>
  </colFields>
  <colItems count="2">
    <i>
      <x/>
    </i>
    <i i="1">
      <x v="1"/>
    </i>
  </colItems>
  <dataFields count="2">
    <dataField name="Count of Quantity" fld="7" subtotal="count" baseField="2" baseItem="0"/>
    <dataField name="Max of Price of Dish Ordered" fld="6" subtotal="max"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7:C29" firstHeaderRow="0" firstDataRow="1" firstDataCol="1"/>
  <pivotFields count="8">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showAll="0"/>
    <pivotField axis="axisRow" showAll="0">
      <items count="12">
        <item x="8"/>
        <item x="3"/>
        <item x="2"/>
        <item x="4"/>
        <item x="1"/>
        <item x="9"/>
        <item x="6"/>
        <item x="7"/>
        <item x="0"/>
        <item x="5"/>
        <item x="10"/>
        <item t="default"/>
      </items>
    </pivotField>
    <pivotField showAll="0"/>
    <pivotField numFmtId="14" showAll="0"/>
    <pivotField showAll="0"/>
    <pivotField dataField="1" showAll="0"/>
    <pivotField dataField="1" showAll="0"/>
  </pivotFields>
  <rowFields count="1">
    <field x="2"/>
  </rowFields>
  <rowItems count="12">
    <i>
      <x/>
    </i>
    <i>
      <x v="1"/>
    </i>
    <i>
      <x v="2"/>
    </i>
    <i>
      <x v="3"/>
    </i>
    <i>
      <x v="4"/>
    </i>
    <i>
      <x v="5"/>
    </i>
    <i>
      <x v="6"/>
    </i>
    <i>
      <x v="7"/>
    </i>
    <i>
      <x v="8"/>
    </i>
    <i>
      <x v="9"/>
    </i>
    <i>
      <x v="10"/>
    </i>
    <i t="grand">
      <x/>
    </i>
  </rowItems>
  <colFields count="1">
    <field x="-2"/>
  </colFields>
  <colItems count="2">
    <i>
      <x/>
    </i>
    <i i="1">
      <x v="1"/>
    </i>
  </colItems>
  <dataFields count="2">
    <dataField name="Count of Quantity" fld="7" subtotal="count" baseField="2" baseItem="0"/>
    <dataField name="Min of Price of Dish Ordered" fld="6" subtotal="min"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F15" firstHeaderRow="0" firstDataRow="1" firstDataCol="1"/>
  <pivotFields count="8">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showAll="0"/>
    <pivotField axis="axisRow" showAll="0">
      <items count="12">
        <item x="8"/>
        <item x="3"/>
        <item x="2"/>
        <item x="4"/>
        <item x="1"/>
        <item x="9"/>
        <item x="6"/>
        <item x="7"/>
        <item x="0"/>
        <item x="5"/>
        <item x="10"/>
        <item t="default"/>
      </items>
    </pivotField>
    <pivotField showAll="0"/>
    <pivotField numFmtId="14" showAll="0"/>
    <pivotField showAll="0"/>
    <pivotField dataField="1" showAll="0"/>
    <pivotField dataField="1" showAll="0"/>
  </pivotFields>
  <rowFields count="1">
    <field x="2"/>
  </rowFields>
  <rowItems count="12">
    <i>
      <x/>
    </i>
    <i>
      <x v="1"/>
    </i>
    <i>
      <x v="2"/>
    </i>
    <i>
      <x v="3"/>
    </i>
    <i>
      <x v="4"/>
    </i>
    <i>
      <x v="5"/>
    </i>
    <i>
      <x v="6"/>
    </i>
    <i>
      <x v="7"/>
    </i>
    <i>
      <x v="8"/>
    </i>
    <i>
      <x v="9"/>
    </i>
    <i>
      <x v="10"/>
    </i>
    <i t="grand">
      <x/>
    </i>
  </rowItems>
  <colFields count="1">
    <field x="-2"/>
  </colFields>
  <colItems count="2">
    <i>
      <x/>
    </i>
    <i i="1">
      <x v="1"/>
    </i>
  </colItems>
  <dataFields count="2">
    <dataField name="Count of Quantity" fld="7" subtotal="count" baseField="2" baseItem="0"/>
    <dataField name="Min of Price of Dish Ordered" fld="6" subtotal="min"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B3811B-049A-46E6-A7C5-344C72BB02DE}"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37" firstHeaderRow="1" firstDataRow="1" firstDataCol="1"/>
  <pivotFields count="11">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axis="axisRow" showAll="0">
      <items count="7">
        <item x="1"/>
        <item x="3"/>
        <item x="5"/>
        <item x="0"/>
        <item x="2"/>
        <item x="4"/>
        <item t="default"/>
      </items>
    </pivotField>
    <pivotField axis="axisRow" showAll="0">
      <items count="12">
        <item x="8"/>
        <item x="3"/>
        <item x="2"/>
        <item x="4"/>
        <item x="1"/>
        <item x="9"/>
        <item x="6"/>
        <item x="7"/>
        <item x="0"/>
        <item x="5"/>
        <item x="1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2">
    <field x="1"/>
    <field x="2"/>
  </rowFields>
  <rowItems count="34">
    <i>
      <x/>
    </i>
    <i r="1">
      <x/>
    </i>
    <i r="1">
      <x v="1"/>
    </i>
    <i r="1">
      <x v="2"/>
    </i>
    <i r="1">
      <x v="4"/>
    </i>
    <i>
      <x v="1"/>
    </i>
    <i r="1">
      <x v="1"/>
    </i>
    <i r="1">
      <x v="2"/>
    </i>
    <i r="1">
      <x v="7"/>
    </i>
    <i r="1">
      <x v="8"/>
    </i>
    <i>
      <x v="2"/>
    </i>
    <i r="1">
      <x v="2"/>
    </i>
    <i r="1">
      <x v="6"/>
    </i>
    <i r="1">
      <x v="7"/>
    </i>
    <i>
      <x v="3"/>
    </i>
    <i r="1">
      <x v="1"/>
    </i>
    <i r="1">
      <x v="2"/>
    </i>
    <i r="1">
      <x v="3"/>
    </i>
    <i r="1">
      <x v="5"/>
    </i>
    <i r="1">
      <x v="7"/>
    </i>
    <i r="1">
      <x v="8"/>
    </i>
    <i r="1">
      <x v="9"/>
    </i>
    <i>
      <x v="4"/>
    </i>
    <i r="1">
      <x v="1"/>
    </i>
    <i r="1">
      <x v="2"/>
    </i>
    <i r="1">
      <x v="3"/>
    </i>
    <i r="1">
      <x v="4"/>
    </i>
    <i r="1">
      <x v="10"/>
    </i>
    <i>
      <x v="5"/>
    </i>
    <i r="1">
      <x/>
    </i>
    <i r="1">
      <x v="4"/>
    </i>
    <i r="1">
      <x v="7"/>
    </i>
    <i r="1">
      <x v="8"/>
    </i>
    <i t="grand">
      <x/>
    </i>
  </rowItems>
  <colItems count="1">
    <i/>
  </colItems>
  <dataFields count="1">
    <dataField name="Sum of Revenue" fld="8" baseField="0"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432F129-21AC-4ED3-A459-B03758C9EC3F}"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15" firstHeaderRow="1" firstDataRow="1" firstDataCol="1"/>
  <pivotFields count="11">
    <pivotField showAll="0"/>
    <pivotField showAll="0"/>
    <pivotField axis="axisRow" showAll="0">
      <items count="12">
        <item x="8"/>
        <item x="3"/>
        <item x="2"/>
        <item x="4"/>
        <item x="1"/>
        <item x="9"/>
        <item x="6"/>
        <item x="7"/>
        <item x="0"/>
        <item x="5"/>
        <item x="1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12">
    <i>
      <x/>
    </i>
    <i>
      <x v="1"/>
    </i>
    <i>
      <x v="2"/>
    </i>
    <i>
      <x v="3"/>
    </i>
    <i>
      <x v="4"/>
    </i>
    <i>
      <x v="5"/>
    </i>
    <i>
      <x v="6"/>
    </i>
    <i>
      <x v="7"/>
    </i>
    <i>
      <x v="8"/>
    </i>
    <i>
      <x v="9"/>
    </i>
    <i>
      <x v="10"/>
    </i>
    <i t="grand">
      <x/>
    </i>
  </rowItems>
  <colItems count="1">
    <i/>
  </colItems>
  <dataFields count="1">
    <dataField name="Sum of Revenue" fld="8"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E5C0424-C67F-4A23-864E-EF7BFDD70EC5}"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32" firstHeaderRow="1" firstDataRow="1" firstDataCol="1"/>
  <pivotFields count="11">
    <pivotField axis="axisRow"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showAll="0"/>
    <pivotField showAll="0">
      <items count="12">
        <item x="8"/>
        <item x="3"/>
        <item x="2"/>
        <item x="4"/>
        <item x="1"/>
        <item x="9"/>
        <item x="6"/>
        <item x="7"/>
        <item x="0"/>
        <item x="5"/>
        <item x="1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Revenue" fld="8"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E3E0E03-2B1E-4AE2-96A1-131397402FD1}"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6" firstHeaderRow="1" firstDataRow="1" firstDataCol="1"/>
  <pivotFields count="11">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showAll="0"/>
    <pivotField showAll="0">
      <items count="12">
        <item x="8"/>
        <item x="3"/>
        <item x="2"/>
        <item x="4"/>
        <item x="1"/>
        <item x="9"/>
        <item x="6"/>
        <item x="7"/>
        <item x="0"/>
        <item x="5"/>
        <item x="10"/>
        <item t="default"/>
      </items>
    </pivotField>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2">
    <field x="10"/>
    <field x="4"/>
  </rowFields>
  <rowItems count="3">
    <i>
      <x v="1"/>
    </i>
    <i>
      <x v="2"/>
    </i>
    <i t="grand">
      <x/>
    </i>
  </rowItems>
  <colItems count="1">
    <i/>
  </colItems>
  <dataFields count="1">
    <dataField name="Sum of Revenue" fld="8" baseField="0" baseItem="0"/>
  </dataField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0" count="1" selected="0">
            <x v="1"/>
          </reference>
        </references>
      </pivotArea>
    </chartFormat>
    <chartFormat chart="3" format="3">
      <pivotArea type="data" outline="0" fieldPosition="0">
        <references count="2">
          <reference field="4294967294" count="1" selected="0">
            <x v="0"/>
          </reference>
          <reference field="10" count="1" selected="0">
            <x v="2"/>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0" count="1" selected="0">
            <x v="1"/>
          </reference>
        </references>
      </pivotArea>
    </chartFormat>
    <chartFormat chart="5" format="9">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5D76047-5CA1-47A8-B70A-C84BB5FCB614}"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10" firstHeaderRow="1" firstDataRow="1" firstDataCol="1"/>
  <pivotFields count="11">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axis="axisRow" showAll="0">
      <items count="7">
        <item x="1"/>
        <item x="3"/>
        <item x="5"/>
        <item x="0"/>
        <item x="2"/>
        <item x="4"/>
        <item t="default"/>
      </items>
    </pivotField>
    <pivotField showAll="0">
      <items count="12">
        <item x="8"/>
        <item x="3"/>
        <item x="2"/>
        <item x="4"/>
        <item x="1"/>
        <item x="9"/>
        <item x="6"/>
        <item x="7"/>
        <item x="0"/>
        <item x="5"/>
        <item x="1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7">
    <i>
      <x/>
    </i>
    <i>
      <x v="1"/>
    </i>
    <i>
      <x v="2"/>
    </i>
    <i>
      <x v="3"/>
    </i>
    <i>
      <x v="4"/>
    </i>
    <i>
      <x v="5"/>
    </i>
    <i t="grand">
      <x/>
    </i>
  </rowItems>
  <colItems count="1">
    <i/>
  </colItems>
  <dataFields count="1">
    <dataField name="Sum of Revenue" fld="8" baseField="0" baseItem="0"/>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130BA65-6CD7-4E64-838A-AEB342131EA3}"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37" firstHeaderRow="1" firstDataRow="1" firstDataCol="1"/>
  <pivotFields count="11">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axis="axisRow" showAll="0">
      <items count="7">
        <item x="1"/>
        <item x="3"/>
        <item x="5"/>
        <item x="0"/>
        <item x="2"/>
        <item x="4"/>
        <item t="default"/>
      </items>
    </pivotField>
    <pivotField axis="axisRow" showAll="0">
      <items count="12">
        <item x="8"/>
        <item x="3"/>
        <item x="2"/>
        <item x="4"/>
        <item x="1"/>
        <item x="9"/>
        <item x="6"/>
        <item x="7"/>
        <item x="0"/>
        <item x="5"/>
        <item x="1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2">
    <field x="1"/>
    <field x="2"/>
  </rowFields>
  <rowItems count="34">
    <i>
      <x/>
    </i>
    <i r="1">
      <x/>
    </i>
    <i r="1">
      <x v="1"/>
    </i>
    <i r="1">
      <x v="2"/>
    </i>
    <i r="1">
      <x v="4"/>
    </i>
    <i>
      <x v="1"/>
    </i>
    <i r="1">
      <x v="1"/>
    </i>
    <i r="1">
      <x v="2"/>
    </i>
    <i r="1">
      <x v="7"/>
    </i>
    <i r="1">
      <x v="8"/>
    </i>
    <i>
      <x v="2"/>
    </i>
    <i r="1">
      <x v="2"/>
    </i>
    <i r="1">
      <x v="6"/>
    </i>
    <i r="1">
      <x v="7"/>
    </i>
    <i>
      <x v="3"/>
    </i>
    <i r="1">
      <x v="1"/>
    </i>
    <i r="1">
      <x v="2"/>
    </i>
    <i r="1">
      <x v="3"/>
    </i>
    <i r="1">
      <x v="5"/>
    </i>
    <i r="1">
      <x v="7"/>
    </i>
    <i r="1">
      <x v="8"/>
    </i>
    <i r="1">
      <x v="9"/>
    </i>
    <i>
      <x v="4"/>
    </i>
    <i r="1">
      <x v="1"/>
    </i>
    <i r="1">
      <x v="2"/>
    </i>
    <i r="1">
      <x v="3"/>
    </i>
    <i r="1">
      <x v="4"/>
    </i>
    <i r="1">
      <x v="10"/>
    </i>
    <i>
      <x v="5"/>
    </i>
    <i r="1">
      <x/>
    </i>
    <i r="1">
      <x v="4"/>
    </i>
    <i r="1">
      <x v="7"/>
    </i>
    <i r="1">
      <x v="8"/>
    </i>
    <i t="grand">
      <x/>
    </i>
  </rowItems>
  <colItems count="1">
    <i/>
  </colItems>
  <dataFields count="1">
    <dataField name="Sum of Revenue" fld="8" baseField="0"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E3DFFE90-DAF5-49A4-9EBE-0158987A86ED}" sourceName="Customer">
  <pivotTables>
    <pivotTable tabId="7" name="PivotTable1"/>
  </pivotTables>
  <data>
    <tabular pivotCacheId="1548750159">
      <items count="28">
        <i x="16" s="1"/>
        <i x="13" s="1"/>
        <i x="0" s="1"/>
        <i x="24" s="1"/>
        <i x="5" s="1"/>
        <i x="22" s="1"/>
        <i x="9" s="1"/>
        <i x="10" s="1"/>
        <i x="14" s="1"/>
        <i x="11" s="1"/>
        <i x="12" s="1"/>
        <i x="7" s="1"/>
        <i x="3" s="1"/>
        <i x="26" s="1"/>
        <i x="8" s="1"/>
        <i x="20" s="1"/>
        <i x="25" s="1"/>
        <i x="18" s="1"/>
        <i x="17" s="1"/>
        <i x="21" s="1"/>
        <i x="23" s="1"/>
        <i x="4" s="1"/>
        <i x="19" s="1"/>
        <i x="2" s="1"/>
        <i x="15" s="1"/>
        <i x="27" s="1"/>
        <i x="1"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h_Ordered" xr10:uid="{EA7D5E2D-020F-46A7-B5E4-9FA6030BC9BF}" sourceName="Dish Ordered">
  <pivotTables>
    <pivotTable tabId="6" name="PivotTable1"/>
  </pivotTables>
  <data>
    <tabular pivotCacheId="1548750159">
      <items count="11">
        <i x="8" s="1"/>
        <i x="3" s="1"/>
        <i x="2" s="1"/>
        <i x="4" s="1"/>
        <i x="1" s="1"/>
        <i x="9" s="1"/>
        <i x="6" s="1"/>
        <i x="7" s="1"/>
        <i x="0" s="1"/>
        <i x="5"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 xr10:uid="{DFB5221A-9AAF-4273-9346-19447A7C3AEB}" sourceName="Restaurant">
  <pivotTables>
    <pivotTable tabId="9" name="PivotTable1"/>
    <pivotTable tabId="10" name="PivotTable1"/>
  </pivotTables>
  <data>
    <tabular pivotCacheId="1548750159">
      <items count="6">
        <i x="1" s="1"/>
        <i x="3" s="1"/>
        <i x="5" s="1"/>
        <i x="0"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xr10:uid="{EAEFD387-5923-4CA0-AE06-88726B983D10}" cache="Slicer_Customer" caption="Customer" rowHeight="241300"/>
  <slicer name="Dish Ordered" xr10:uid="{EBD45CFB-A352-4D0B-B37F-47AAB74DEAC2}" cache="Slicer_Dish_Ordered" caption="Dish Ordered" rowHeight="241300"/>
  <slicer name="Restaurant" xr10:uid="{1795ED78-A331-43C9-A060-A4EEF20580C4}" cache="Slicer_Restaurant" caption="Restaura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1A1230-A0C1-4EF5-9369-24ECA81A02C7}" name="Table2" displayName="Table2" ref="A1:J46" totalsRowShown="0" headerRowDxfId="3">
  <autoFilter ref="A1:J46" xr:uid="{58848E7F-7DAF-470A-9A74-88EEF3771247}"/>
  <tableColumns count="10">
    <tableColumn id="1" xr3:uid="{968B4F59-CED8-47A5-803D-65CE251D8D1C}" name="Customer"/>
    <tableColumn id="2" xr3:uid="{8AF792D0-084A-4526-B047-2FCC05BD134F}" name="Restaurant"/>
    <tableColumn id="3" xr3:uid="{97BD3507-EAEA-4AF2-953E-510DB1BD8C83}" name="Dish Ordered"/>
    <tableColumn id="4" xr3:uid="{99C05B7B-4CA8-4812-9C95-1DB585C4BF2A}" name="Rating"/>
    <tableColumn id="5" xr3:uid="{3C0F81F9-B4A3-4AB8-B6DF-D4676E5C8922}" name="Date of Visit" dataDxfId="2"/>
    <tableColumn id="6" xr3:uid="{782B7B03-9C6F-4C86-8A81-01878D55F928}" name="Feedback"/>
    <tableColumn id="7" xr3:uid="{D5071316-CB9D-4136-B1AD-062ADB9E2583}" name="Price of Dish Ordered"/>
    <tableColumn id="8" xr3:uid="{DF076AF6-F379-4329-9578-36C25B581B17}" name="Quantity"/>
    <tableColumn id="9" xr3:uid="{E71D508A-1BCA-489D-BD0D-0C73C3699F38}" name="Revenue">
      <calculatedColumnFormula>(G2*H2)</calculatedColumnFormula>
    </tableColumn>
    <tableColumn id="10" xr3:uid="{7412D14D-B223-4192-8C1D-08618D9636B0}" name="Total_Reven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H46" totalsRowShown="0" headerRowDxfId="1">
  <autoFilter ref="A1:H46" xr:uid="{00000000-0009-0000-0100-000001000000}"/>
  <tableColumns count="8">
    <tableColumn id="1" xr3:uid="{00000000-0010-0000-0000-000001000000}" name="Customer"/>
    <tableColumn id="2" xr3:uid="{00000000-0010-0000-0000-000002000000}" name="Restaurant"/>
    <tableColumn id="3" xr3:uid="{00000000-0010-0000-0000-000003000000}" name="Dish Ordered"/>
    <tableColumn id="4" xr3:uid="{00000000-0010-0000-0000-000004000000}" name="Rating"/>
    <tableColumn id="5" xr3:uid="{00000000-0010-0000-0000-000005000000}" name="Date of Visit" dataDxfId="0"/>
    <tableColumn id="6" xr3:uid="{00000000-0010-0000-0000-000006000000}" name="Feedback"/>
    <tableColumn id="7" xr3:uid="{00000000-0010-0000-0000-000007000000}" name="Price of Dish Ordered"/>
    <tableColumn id="8" xr3:uid="{00000000-0010-0000-0000-000008000000}" name="Quant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5.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6"/>
  <sheetViews>
    <sheetView workbookViewId="0">
      <selection activeCell="G20" sqref="G20"/>
    </sheetView>
  </sheetViews>
  <sheetFormatPr defaultRowHeight="14.5" x14ac:dyDescent="0.35"/>
  <cols>
    <col min="1" max="1" width="15" bestFit="1" customWidth="1"/>
    <col min="2" max="2" width="12.7265625" bestFit="1" customWidth="1"/>
    <col min="3" max="3" width="14.36328125" bestFit="1" customWidth="1"/>
    <col min="4" max="4" width="8.08984375" customWidth="1"/>
    <col min="5" max="5" width="13.08984375" customWidth="1"/>
    <col min="6" max="6" width="11.54296875" bestFit="1" customWidth="1"/>
    <col min="7" max="7" width="20.6328125" customWidth="1"/>
    <col min="8" max="8" width="10.1796875" customWidth="1"/>
    <col min="9" max="9" width="10.453125" bestFit="1" customWidth="1"/>
    <col min="10" max="10" width="15.26953125" customWidth="1"/>
  </cols>
  <sheetData>
    <row r="1" spans="1:12" x14ac:dyDescent="0.35">
      <c r="A1" s="2" t="s">
        <v>0</v>
      </c>
      <c r="B1" s="2" t="s">
        <v>1</v>
      </c>
      <c r="C1" s="2" t="s">
        <v>2</v>
      </c>
      <c r="D1" s="2" t="s">
        <v>3</v>
      </c>
      <c r="E1" s="2" t="s">
        <v>4</v>
      </c>
      <c r="F1" s="2" t="s">
        <v>5</v>
      </c>
      <c r="G1" s="2" t="s">
        <v>6</v>
      </c>
      <c r="H1" s="2" t="s">
        <v>7</v>
      </c>
      <c r="I1" s="2" t="s">
        <v>63</v>
      </c>
      <c r="J1" s="2" t="s">
        <v>64</v>
      </c>
    </row>
    <row r="2" spans="1:12" x14ac:dyDescent="0.35">
      <c r="A2" t="s">
        <v>8</v>
      </c>
      <c r="B2" t="s">
        <v>9</v>
      </c>
      <c r="C2" t="s">
        <v>10</v>
      </c>
      <c r="D2">
        <v>2</v>
      </c>
      <c r="E2" s="1">
        <f>E3-1</f>
        <v>44947</v>
      </c>
      <c r="F2" t="s">
        <v>11</v>
      </c>
      <c r="G2">
        <v>5</v>
      </c>
      <c r="H2">
        <v>4</v>
      </c>
      <c r="I2">
        <f>(G2*H2)</f>
        <v>20</v>
      </c>
      <c r="J2">
        <f>SUM(I2:I46)</f>
        <v>2180</v>
      </c>
      <c r="L2">
        <f>SUM(Table2[[#This Row],[Revenue]] : I46)</f>
        <v>2180</v>
      </c>
    </row>
    <row r="3" spans="1:12" x14ac:dyDescent="0.35">
      <c r="A3" t="s">
        <v>12</v>
      </c>
      <c r="B3" t="s">
        <v>13</v>
      </c>
      <c r="C3" t="s">
        <v>14</v>
      </c>
      <c r="D3">
        <v>1</v>
      </c>
      <c r="E3" s="1">
        <v>44948</v>
      </c>
      <c r="F3" t="s">
        <v>11</v>
      </c>
      <c r="G3">
        <v>20</v>
      </c>
      <c r="H3">
        <v>3</v>
      </c>
      <c r="I3">
        <f t="shared" ref="I3:I46" si="0">(G3*H3)</f>
        <v>60</v>
      </c>
    </row>
    <row r="4" spans="1:12" x14ac:dyDescent="0.35">
      <c r="A4" t="s">
        <v>15</v>
      </c>
      <c r="B4" t="s">
        <v>16</v>
      </c>
      <c r="C4" t="s">
        <v>17</v>
      </c>
      <c r="D4">
        <v>2</v>
      </c>
      <c r="E4" s="1">
        <v>44947</v>
      </c>
      <c r="F4" t="s">
        <v>11</v>
      </c>
      <c r="G4">
        <v>5</v>
      </c>
      <c r="H4">
        <v>1</v>
      </c>
      <c r="I4">
        <f t="shared" si="0"/>
        <v>5</v>
      </c>
    </row>
    <row r="5" spans="1:12" x14ac:dyDescent="0.35">
      <c r="A5" t="s">
        <v>18</v>
      </c>
      <c r="B5" t="s">
        <v>9</v>
      </c>
      <c r="C5" t="s">
        <v>19</v>
      </c>
      <c r="D5">
        <v>2</v>
      </c>
      <c r="E5" s="1">
        <v>44950</v>
      </c>
      <c r="F5" t="s">
        <v>11</v>
      </c>
      <c r="G5">
        <v>5</v>
      </c>
      <c r="H5">
        <v>1</v>
      </c>
      <c r="I5">
        <f t="shared" si="0"/>
        <v>5</v>
      </c>
    </row>
    <row r="6" spans="1:12" x14ac:dyDescent="0.35">
      <c r="A6" t="s">
        <v>20</v>
      </c>
      <c r="B6" t="s">
        <v>9</v>
      </c>
      <c r="C6" t="s">
        <v>17</v>
      </c>
      <c r="D6">
        <v>4</v>
      </c>
      <c r="E6" s="1">
        <v>44947</v>
      </c>
      <c r="F6" t="s">
        <v>11</v>
      </c>
      <c r="G6">
        <v>5</v>
      </c>
      <c r="H6">
        <v>1</v>
      </c>
      <c r="I6">
        <f t="shared" si="0"/>
        <v>5</v>
      </c>
    </row>
    <row r="7" spans="1:12" x14ac:dyDescent="0.35">
      <c r="A7" t="s">
        <v>21</v>
      </c>
      <c r="B7" t="s">
        <v>9</v>
      </c>
      <c r="C7" t="s">
        <v>22</v>
      </c>
      <c r="D7">
        <v>1</v>
      </c>
      <c r="E7" s="1">
        <v>44960</v>
      </c>
      <c r="F7" t="s">
        <v>11</v>
      </c>
      <c r="G7">
        <v>25</v>
      </c>
      <c r="H7">
        <v>5</v>
      </c>
      <c r="I7">
        <f t="shared" si="0"/>
        <v>125</v>
      </c>
    </row>
    <row r="8" spans="1:12" x14ac:dyDescent="0.35">
      <c r="A8" t="s">
        <v>23</v>
      </c>
      <c r="B8" t="s">
        <v>9</v>
      </c>
      <c r="C8" t="s">
        <v>24</v>
      </c>
      <c r="D8">
        <v>5</v>
      </c>
      <c r="E8" s="1">
        <v>44940</v>
      </c>
      <c r="F8" t="s">
        <v>11</v>
      </c>
      <c r="G8">
        <v>10</v>
      </c>
      <c r="H8">
        <v>4</v>
      </c>
      <c r="I8">
        <f t="shared" si="0"/>
        <v>40</v>
      </c>
    </row>
    <row r="9" spans="1:12" x14ac:dyDescent="0.35">
      <c r="A9" t="s">
        <v>25</v>
      </c>
      <c r="B9" t="s">
        <v>26</v>
      </c>
      <c r="C9" t="s">
        <v>10</v>
      </c>
      <c r="D9">
        <v>2</v>
      </c>
      <c r="E9" s="1">
        <v>44961</v>
      </c>
      <c r="F9" t="s">
        <v>11</v>
      </c>
      <c r="G9">
        <v>20</v>
      </c>
      <c r="H9">
        <v>5</v>
      </c>
      <c r="I9">
        <f t="shared" si="0"/>
        <v>100</v>
      </c>
    </row>
    <row r="10" spans="1:12" x14ac:dyDescent="0.35">
      <c r="A10" t="s">
        <v>27</v>
      </c>
      <c r="B10" t="s">
        <v>28</v>
      </c>
      <c r="C10" t="s">
        <v>14</v>
      </c>
      <c r="D10">
        <v>1</v>
      </c>
      <c r="E10" s="1">
        <v>44958</v>
      </c>
      <c r="F10" t="s">
        <v>11</v>
      </c>
      <c r="G10">
        <v>25</v>
      </c>
      <c r="H10">
        <v>4</v>
      </c>
      <c r="I10">
        <f t="shared" si="0"/>
        <v>100</v>
      </c>
    </row>
    <row r="11" spans="1:12" x14ac:dyDescent="0.35">
      <c r="A11" t="s">
        <v>15</v>
      </c>
      <c r="B11" t="s">
        <v>29</v>
      </c>
      <c r="C11" t="s">
        <v>30</v>
      </c>
      <c r="D11">
        <v>3</v>
      </c>
      <c r="E11" s="1">
        <v>44947</v>
      </c>
      <c r="F11" t="s">
        <v>11</v>
      </c>
      <c r="G11">
        <v>25</v>
      </c>
      <c r="H11">
        <v>5</v>
      </c>
      <c r="I11">
        <f t="shared" si="0"/>
        <v>125</v>
      </c>
    </row>
    <row r="12" spans="1:12" x14ac:dyDescent="0.35">
      <c r="A12" t="s">
        <v>31</v>
      </c>
      <c r="B12" t="s">
        <v>9</v>
      </c>
      <c r="C12" t="s">
        <v>24</v>
      </c>
      <c r="D12">
        <v>1</v>
      </c>
      <c r="E12" s="1">
        <v>44957</v>
      </c>
      <c r="F12" t="s">
        <v>11</v>
      </c>
      <c r="G12">
        <v>25</v>
      </c>
      <c r="H12">
        <v>5</v>
      </c>
      <c r="I12">
        <f t="shared" si="0"/>
        <v>125</v>
      </c>
    </row>
    <row r="13" spans="1:12" x14ac:dyDescent="0.35">
      <c r="A13" t="s">
        <v>25</v>
      </c>
      <c r="B13" t="s">
        <v>26</v>
      </c>
      <c r="C13" t="s">
        <v>10</v>
      </c>
      <c r="D13">
        <v>2</v>
      </c>
      <c r="E13" s="1">
        <v>44961</v>
      </c>
      <c r="F13" t="s">
        <v>11</v>
      </c>
      <c r="G13">
        <v>25</v>
      </c>
      <c r="H13">
        <v>3</v>
      </c>
      <c r="I13">
        <f t="shared" si="0"/>
        <v>75</v>
      </c>
    </row>
    <row r="14" spans="1:12" x14ac:dyDescent="0.35">
      <c r="A14" t="s">
        <v>32</v>
      </c>
      <c r="B14" t="s">
        <v>9</v>
      </c>
      <c r="C14" t="s">
        <v>10</v>
      </c>
      <c r="D14">
        <v>1</v>
      </c>
      <c r="E14" s="1">
        <v>44941</v>
      </c>
      <c r="F14" t="s">
        <v>11</v>
      </c>
      <c r="G14">
        <v>25</v>
      </c>
      <c r="H14">
        <v>5</v>
      </c>
      <c r="I14">
        <f t="shared" si="0"/>
        <v>125</v>
      </c>
    </row>
    <row r="15" spans="1:12" x14ac:dyDescent="0.35">
      <c r="A15" t="s">
        <v>33</v>
      </c>
      <c r="B15" t="s">
        <v>16</v>
      </c>
      <c r="C15" t="s">
        <v>19</v>
      </c>
      <c r="D15">
        <v>2</v>
      </c>
      <c r="E15" s="1">
        <v>44944</v>
      </c>
      <c r="F15" t="s">
        <v>11</v>
      </c>
      <c r="G15">
        <v>15</v>
      </c>
      <c r="H15">
        <v>2</v>
      </c>
      <c r="I15">
        <f t="shared" si="0"/>
        <v>30</v>
      </c>
    </row>
    <row r="16" spans="1:12" x14ac:dyDescent="0.35">
      <c r="A16" t="s">
        <v>34</v>
      </c>
      <c r="B16" t="s">
        <v>29</v>
      </c>
      <c r="C16" t="s">
        <v>30</v>
      </c>
      <c r="D16">
        <v>1</v>
      </c>
      <c r="E16" s="1">
        <v>44929</v>
      </c>
      <c r="F16" t="s">
        <v>11</v>
      </c>
      <c r="G16">
        <v>20</v>
      </c>
      <c r="H16">
        <v>3</v>
      </c>
      <c r="I16">
        <f t="shared" si="0"/>
        <v>60</v>
      </c>
    </row>
    <row r="17" spans="1:9" x14ac:dyDescent="0.35">
      <c r="A17" t="s">
        <v>35</v>
      </c>
      <c r="B17" t="s">
        <v>26</v>
      </c>
      <c r="C17" t="s">
        <v>19</v>
      </c>
      <c r="D17">
        <v>2</v>
      </c>
      <c r="E17" s="1">
        <v>44952</v>
      </c>
      <c r="F17" t="s">
        <v>11</v>
      </c>
      <c r="G17">
        <v>25</v>
      </c>
      <c r="H17">
        <v>5</v>
      </c>
      <c r="I17">
        <f t="shared" si="0"/>
        <v>125</v>
      </c>
    </row>
    <row r="18" spans="1:9" x14ac:dyDescent="0.35">
      <c r="A18" t="s">
        <v>15</v>
      </c>
      <c r="B18" t="s">
        <v>16</v>
      </c>
      <c r="C18" t="s">
        <v>17</v>
      </c>
      <c r="D18">
        <v>2</v>
      </c>
      <c r="E18" s="1">
        <v>44947</v>
      </c>
      <c r="F18" t="s">
        <v>11</v>
      </c>
      <c r="G18">
        <v>20</v>
      </c>
      <c r="H18">
        <v>1</v>
      </c>
      <c r="I18">
        <f t="shared" si="0"/>
        <v>20</v>
      </c>
    </row>
    <row r="19" spans="1:9" x14ac:dyDescent="0.35">
      <c r="A19" t="s">
        <v>36</v>
      </c>
      <c r="B19" t="s">
        <v>13</v>
      </c>
      <c r="C19" t="s">
        <v>17</v>
      </c>
      <c r="D19">
        <v>4</v>
      </c>
      <c r="E19" s="1">
        <v>44951</v>
      </c>
      <c r="F19" t="s">
        <v>11</v>
      </c>
      <c r="G19">
        <v>15</v>
      </c>
      <c r="H19">
        <v>2</v>
      </c>
      <c r="I19">
        <f t="shared" si="0"/>
        <v>30</v>
      </c>
    </row>
    <row r="20" spans="1:9" x14ac:dyDescent="0.35">
      <c r="A20" t="s">
        <v>15</v>
      </c>
      <c r="B20" t="s">
        <v>16</v>
      </c>
      <c r="C20" t="s">
        <v>17</v>
      </c>
      <c r="D20">
        <v>2</v>
      </c>
      <c r="E20" s="1">
        <v>44947</v>
      </c>
      <c r="F20" t="s">
        <v>11</v>
      </c>
      <c r="G20">
        <v>15</v>
      </c>
      <c r="H20">
        <v>2</v>
      </c>
      <c r="I20">
        <f t="shared" si="0"/>
        <v>30</v>
      </c>
    </row>
    <row r="21" spans="1:9" x14ac:dyDescent="0.35">
      <c r="A21" t="s">
        <v>15</v>
      </c>
      <c r="B21" t="s">
        <v>29</v>
      </c>
      <c r="C21" t="s">
        <v>30</v>
      </c>
      <c r="D21">
        <v>3</v>
      </c>
      <c r="E21" s="1">
        <v>44959</v>
      </c>
      <c r="F21" t="s">
        <v>11</v>
      </c>
      <c r="G21">
        <v>20</v>
      </c>
      <c r="H21">
        <v>2</v>
      </c>
      <c r="I21">
        <f t="shared" si="0"/>
        <v>40</v>
      </c>
    </row>
    <row r="22" spans="1:9" x14ac:dyDescent="0.35">
      <c r="A22" t="s">
        <v>21</v>
      </c>
      <c r="B22" t="s">
        <v>9</v>
      </c>
      <c r="C22" t="s">
        <v>37</v>
      </c>
      <c r="D22">
        <v>3</v>
      </c>
      <c r="E22" s="1">
        <v>44947</v>
      </c>
      <c r="F22" t="s">
        <v>11</v>
      </c>
      <c r="G22">
        <v>5</v>
      </c>
      <c r="H22">
        <v>3</v>
      </c>
      <c r="I22">
        <f t="shared" si="0"/>
        <v>15</v>
      </c>
    </row>
    <row r="23" spans="1:9" x14ac:dyDescent="0.35">
      <c r="A23" t="s">
        <v>38</v>
      </c>
      <c r="B23" t="s">
        <v>13</v>
      </c>
      <c r="C23" t="s">
        <v>19</v>
      </c>
      <c r="D23">
        <v>1</v>
      </c>
      <c r="E23" s="1">
        <v>44949</v>
      </c>
      <c r="F23" t="s">
        <v>11</v>
      </c>
      <c r="G23">
        <v>10</v>
      </c>
      <c r="H23">
        <v>5</v>
      </c>
      <c r="I23">
        <f t="shared" si="0"/>
        <v>50</v>
      </c>
    </row>
    <row r="24" spans="1:9" x14ac:dyDescent="0.35">
      <c r="A24" t="s">
        <v>39</v>
      </c>
      <c r="B24" t="s">
        <v>26</v>
      </c>
      <c r="C24" t="s">
        <v>37</v>
      </c>
      <c r="D24">
        <v>1</v>
      </c>
      <c r="E24" s="1">
        <v>44930</v>
      </c>
      <c r="F24" t="s">
        <v>11</v>
      </c>
      <c r="G24">
        <v>5</v>
      </c>
      <c r="H24">
        <v>3</v>
      </c>
      <c r="I24">
        <f t="shared" si="0"/>
        <v>15</v>
      </c>
    </row>
    <row r="25" spans="1:9" x14ac:dyDescent="0.35">
      <c r="A25" t="s">
        <v>40</v>
      </c>
      <c r="B25" t="s">
        <v>28</v>
      </c>
      <c r="C25" t="s">
        <v>10</v>
      </c>
      <c r="D25">
        <v>5</v>
      </c>
      <c r="E25" s="1">
        <v>44947</v>
      </c>
      <c r="F25" t="s">
        <v>11</v>
      </c>
      <c r="G25">
        <v>17</v>
      </c>
      <c r="H25">
        <v>1</v>
      </c>
      <c r="I25">
        <f t="shared" si="0"/>
        <v>17</v>
      </c>
    </row>
    <row r="26" spans="1:9" x14ac:dyDescent="0.35">
      <c r="A26" t="s">
        <v>41</v>
      </c>
      <c r="B26" t="s">
        <v>28</v>
      </c>
      <c r="C26" t="s">
        <v>37</v>
      </c>
      <c r="D26">
        <v>4</v>
      </c>
      <c r="E26" s="1">
        <v>44934</v>
      </c>
      <c r="F26" t="s">
        <v>11</v>
      </c>
      <c r="G26">
        <v>5</v>
      </c>
      <c r="H26">
        <v>1</v>
      </c>
      <c r="I26">
        <f t="shared" si="0"/>
        <v>5</v>
      </c>
    </row>
    <row r="27" spans="1:9" x14ac:dyDescent="0.35">
      <c r="A27" t="s">
        <v>15</v>
      </c>
      <c r="B27" t="s">
        <v>16</v>
      </c>
      <c r="C27" t="s">
        <v>17</v>
      </c>
      <c r="D27">
        <v>2</v>
      </c>
      <c r="E27" s="1">
        <v>44947</v>
      </c>
      <c r="F27" t="s">
        <v>11</v>
      </c>
      <c r="G27">
        <v>25</v>
      </c>
      <c r="H27">
        <v>3</v>
      </c>
      <c r="I27">
        <f t="shared" si="0"/>
        <v>75</v>
      </c>
    </row>
    <row r="28" spans="1:9" x14ac:dyDescent="0.35">
      <c r="A28" t="s">
        <v>18</v>
      </c>
      <c r="B28" t="s">
        <v>16</v>
      </c>
      <c r="C28" t="s">
        <v>22</v>
      </c>
      <c r="D28">
        <v>1</v>
      </c>
      <c r="E28" s="1">
        <v>44946</v>
      </c>
      <c r="F28" t="s">
        <v>11</v>
      </c>
      <c r="G28">
        <v>15</v>
      </c>
      <c r="H28">
        <v>1</v>
      </c>
      <c r="I28">
        <f t="shared" si="0"/>
        <v>15</v>
      </c>
    </row>
    <row r="29" spans="1:9" x14ac:dyDescent="0.35">
      <c r="A29" t="s">
        <v>12</v>
      </c>
      <c r="B29" t="s">
        <v>13</v>
      </c>
      <c r="C29" t="s">
        <v>14</v>
      </c>
      <c r="D29">
        <v>1</v>
      </c>
      <c r="E29" s="1">
        <v>44948</v>
      </c>
      <c r="F29" t="s">
        <v>11</v>
      </c>
      <c r="G29">
        <v>5</v>
      </c>
      <c r="H29">
        <v>3</v>
      </c>
      <c r="I29">
        <f t="shared" si="0"/>
        <v>15</v>
      </c>
    </row>
    <row r="30" spans="1:9" x14ac:dyDescent="0.35">
      <c r="A30" t="s">
        <v>32</v>
      </c>
      <c r="B30" t="s">
        <v>26</v>
      </c>
      <c r="C30" t="s">
        <v>37</v>
      </c>
      <c r="D30">
        <v>4</v>
      </c>
      <c r="E30" s="1">
        <v>44927</v>
      </c>
      <c r="F30" t="s">
        <v>11</v>
      </c>
      <c r="G30">
        <v>13</v>
      </c>
      <c r="H30">
        <v>5</v>
      </c>
      <c r="I30">
        <f t="shared" si="0"/>
        <v>65</v>
      </c>
    </row>
    <row r="31" spans="1:9" x14ac:dyDescent="0.35">
      <c r="A31" t="s">
        <v>15</v>
      </c>
      <c r="B31" t="s">
        <v>13</v>
      </c>
      <c r="C31" t="s">
        <v>42</v>
      </c>
      <c r="D31">
        <v>3</v>
      </c>
      <c r="E31" s="1">
        <v>44945</v>
      </c>
      <c r="F31" t="s">
        <v>11</v>
      </c>
      <c r="G31">
        <v>23</v>
      </c>
      <c r="H31">
        <v>2</v>
      </c>
      <c r="I31">
        <f t="shared" si="0"/>
        <v>46</v>
      </c>
    </row>
    <row r="32" spans="1:9" x14ac:dyDescent="0.35">
      <c r="A32" t="s">
        <v>43</v>
      </c>
      <c r="B32" t="s">
        <v>9</v>
      </c>
      <c r="C32" t="s">
        <v>10</v>
      </c>
      <c r="D32">
        <v>3</v>
      </c>
      <c r="E32" s="1">
        <v>44942</v>
      </c>
      <c r="F32" t="s">
        <v>11</v>
      </c>
      <c r="G32">
        <v>10</v>
      </c>
      <c r="H32">
        <v>1</v>
      </c>
      <c r="I32">
        <f t="shared" si="0"/>
        <v>10</v>
      </c>
    </row>
    <row r="33" spans="1:9" x14ac:dyDescent="0.35">
      <c r="A33" t="s">
        <v>41</v>
      </c>
      <c r="B33" t="s">
        <v>28</v>
      </c>
      <c r="C33" t="s">
        <v>37</v>
      </c>
      <c r="D33">
        <v>4</v>
      </c>
      <c r="E33" s="1">
        <v>44934</v>
      </c>
      <c r="F33" t="s">
        <v>11</v>
      </c>
      <c r="G33">
        <v>20</v>
      </c>
      <c r="H33">
        <v>3</v>
      </c>
      <c r="I33">
        <f t="shared" si="0"/>
        <v>60</v>
      </c>
    </row>
    <row r="34" spans="1:9" x14ac:dyDescent="0.35">
      <c r="A34" t="s">
        <v>15</v>
      </c>
      <c r="B34" t="s">
        <v>13</v>
      </c>
      <c r="C34" t="s">
        <v>42</v>
      </c>
      <c r="D34">
        <v>3</v>
      </c>
      <c r="E34" s="1">
        <v>44945</v>
      </c>
      <c r="F34" t="s">
        <v>11</v>
      </c>
      <c r="G34">
        <v>20</v>
      </c>
      <c r="H34">
        <v>3</v>
      </c>
      <c r="I34">
        <f t="shared" si="0"/>
        <v>60</v>
      </c>
    </row>
    <row r="35" spans="1:9" x14ac:dyDescent="0.35">
      <c r="A35" t="s">
        <v>44</v>
      </c>
      <c r="B35" t="s">
        <v>9</v>
      </c>
      <c r="C35" t="s">
        <v>45</v>
      </c>
      <c r="D35">
        <v>2</v>
      </c>
      <c r="E35" s="1">
        <v>44955</v>
      </c>
      <c r="F35" t="s">
        <v>11</v>
      </c>
      <c r="G35">
        <v>25</v>
      </c>
      <c r="H35">
        <v>1</v>
      </c>
      <c r="I35">
        <f t="shared" si="0"/>
        <v>25</v>
      </c>
    </row>
    <row r="36" spans="1:9" x14ac:dyDescent="0.35">
      <c r="A36" t="s">
        <v>46</v>
      </c>
      <c r="B36" t="s">
        <v>29</v>
      </c>
      <c r="C36" t="s">
        <v>17</v>
      </c>
      <c r="D36">
        <v>1</v>
      </c>
      <c r="E36" s="1">
        <v>44931</v>
      </c>
      <c r="F36" t="s">
        <v>11</v>
      </c>
      <c r="G36">
        <v>10</v>
      </c>
      <c r="H36">
        <v>3</v>
      </c>
      <c r="I36">
        <f t="shared" si="0"/>
        <v>30</v>
      </c>
    </row>
    <row r="37" spans="1:9" x14ac:dyDescent="0.35">
      <c r="A37" t="s">
        <v>46</v>
      </c>
      <c r="B37" t="s">
        <v>16</v>
      </c>
      <c r="C37" t="s">
        <v>47</v>
      </c>
      <c r="D37">
        <v>1</v>
      </c>
      <c r="E37" s="1">
        <v>44928</v>
      </c>
      <c r="F37" t="s">
        <v>11</v>
      </c>
      <c r="G37">
        <v>20</v>
      </c>
      <c r="H37">
        <v>1</v>
      </c>
      <c r="I37">
        <f t="shared" si="0"/>
        <v>20</v>
      </c>
    </row>
    <row r="38" spans="1:9" x14ac:dyDescent="0.35">
      <c r="A38" t="s">
        <v>48</v>
      </c>
      <c r="B38" t="s">
        <v>29</v>
      </c>
      <c r="C38" t="s">
        <v>37</v>
      </c>
      <c r="D38">
        <v>2</v>
      </c>
      <c r="E38" s="1">
        <v>44953</v>
      </c>
      <c r="F38" t="s">
        <v>11</v>
      </c>
      <c r="G38">
        <v>20</v>
      </c>
      <c r="H38">
        <v>2</v>
      </c>
      <c r="I38">
        <f t="shared" si="0"/>
        <v>40</v>
      </c>
    </row>
    <row r="39" spans="1:9" x14ac:dyDescent="0.35">
      <c r="A39" t="s">
        <v>15</v>
      </c>
      <c r="B39" t="s">
        <v>16</v>
      </c>
      <c r="C39" t="s">
        <v>17</v>
      </c>
      <c r="D39">
        <v>2</v>
      </c>
      <c r="E39" s="1">
        <v>44947</v>
      </c>
      <c r="F39" t="s">
        <v>11</v>
      </c>
      <c r="G39">
        <v>10</v>
      </c>
      <c r="H39">
        <v>1</v>
      </c>
      <c r="I39">
        <f t="shared" si="0"/>
        <v>10</v>
      </c>
    </row>
    <row r="40" spans="1:9" x14ac:dyDescent="0.35">
      <c r="A40" t="s">
        <v>15</v>
      </c>
      <c r="B40" t="s">
        <v>26</v>
      </c>
      <c r="C40" t="s">
        <v>19</v>
      </c>
      <c r="D40">
        <v>1</v>
      </c>
      <c r="E40" s="1">
        <v>44939</v>
      </c>
      <c r="F40" t="s">
        <v>11</v>
      </c>
      <c r="G40">
        <v>14</v>
      </c>
      <c r="H40">
        <v>3</v>
      </c>
      <c r="I40">
        <f t="shared" si="0"/>
        <v>42</v>
      </c>
    </row>
    <row r="41" spans="1:9" x14ac:dyDescent="0.35">
      <c r="A41" t="s">
        <v>49</v>
      </c>
      <c r="B41" t="s">
        <v>28</v>
      </c>
      <c r="C41" t="s">
        <v>14</v>
      </c>
      <c r="D41">
        <v>1</v>
      </c>
      <c r="E41" s="1">
        <v>44933</v>
      </c>
      <c r="F41" t="s">
        <v>11</v>
      </c>
      <c r="G41">
        <v>20</v>
      </c>
      <c r="H41">
        <v>1</v>
      </c>
      <c r="I41">
        <f t="shared" si="0"/>
        <v>20</v>
      </c>
    </row>
    <row r="42" spans="1:9" x14ac:dyDescent="0.35">
      <c r="A42" t="s">
        <v>23</v>
      </c>
      <c r="B42" t="s">
        <v>9</v>
      </c>
      <c r="C42" t="s">
        <v>24</v>
      </c>
      <c r="D42">
        <v>5</v>
      </c>
      <c r="E42" s="1">
        <v>44940</v>
      </c>
      <c r="F42" t="s">
        <v>11</v>
      </c>
      <c r="G42">
        <v>10</v>
      </c>
      <c r="H42">
        <v>5</v>
      </c>
      <c r="I42">
        <f t="shared" si="0"/>
        <v>50</v>
      </c>
    </row>
    <row r="43" spans="1:9" x14ac:dyDescent="0.35">
      <c r="A43" t="s">
        <v>50</v>
      </c>
      <c r="B43" t="s">
        <v>9</v>
      </c>
      <c r="C43" t="s">
        <v>37</v>
      </c>
      <c r="D43">
        <v>2</v>
      </c>
      <c r="E43" s="1">
        <v>44943</v>
      </c>
      <c r="F43" t="s">
        <v>11</v>
      </c>
      <c r="G43">
        <v>20</v>
      </c>
      <c r="H43">
        <v>4</v>
      </c>
      <c r="I43">
        <f t="shared" si="0"/>
        <v>80</v>
      </c>
    </row>
    <row r="44" spans="1:9" x14ac:dyDescent="0.35">
      <c r="A44" t="s">
        <v>51</v>
      </c>
      <c r="B44" t="s">
        <v>16</v>
      </c>
      <c r="C44" t="s">
        <v>14</v>
      </c>
      <c r="D44">
        <v>1</v>
      </c>
      <c r="E44" s="1">
        <v>44936</v>
      </c>
      <c r="F44" t="s">
        <v>11</v>
      </c>
      <c r="G44">
        <v>20</v>
      </c>
      <c r="H44">
        <v>1</v>
      </c>
      <c r="I44">
        <f t="shared" si="0"/>
        <v>20</v>
      </c>
    </row>
    <row r="45" spans="1:9" x14ac:dyDescent="0.35">
      <c r="A45" t="s">
        <v>52</v>
      </c>
      <c r="B45" t="s">
        <v>28</v>
      </c>
      <c r="C45" t="s">
        <v>42</v>
      </c>
      <c r="D45">
        <v>5</v>
      </c>
      <c r="E45" s="1">
        <v>44935</v>
      </c>
      <c r="F45" t="s">
        <v>11</v>
      </c>
      <c r="G45">
        <v>25</v>
      </c>
      <c r="H45">
        <v>5</v>
      </c>
      <c r="I45">
        <f t="shared" si="0"/>
        <v>125</v>
      </c>
    </row>
    <row r="46" spans="1:9" x14ac:dyDescent="0.35">
      <c r="A46" t="s">
        <v>53</v>
      </c>
      <c r="B46" t="s">
        <v>26</v>
      </c>
      <c r="C46" t="s">
        <v>17</v>
      </c>
      <c r="D46">
        <v>3</v>
      </c>
      <c r="E46" s="1">
        <v>44938</v>
      </c>
      <c r="F46" t="s">
        <v>11</v>
      </c>
      <c r="G46">
        <v>5</v>
      </c>
      <c r="H46">
        <v>5</v>
      </c>
      <c r="I46">
        <f t="shared" si="0"/>
        <v>25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6"/>
  <sheetViews>
    <sheetView topLeftCell="A2" workbookViewId="0">
      <selection sqref="A1:H46"/>
    </sheetView>
  </sheetViews>
  <sheetFormatPr defaultRowHeight="14.5" x14ac:dyDescent="0.35"/>
  <cols>
    <col min="1" max="1" width="15" bestFit="1" customWidth="1"/>
    <col min="2" max="2" width="12.7265625" bestFit="1" customWidth="1"/>
    <col min="3" max="3" width="14.36328125" bestFit="1" customWidth="1"/>
    <col min="4" max="4" width="8.08984375" customWidth="1"/>
    <col min="5" max="5" width="13.08984375" customWidth="1"/>
    <col min="6" max="6" width="11.54296875" bestFit="1" customWidth="1"/>
    <col min="7" max="7" width="20.6328125" customWidth="1"/>
    <col min="8" max="8" width="10.1796875" customWidth="1"/>
  </cols>
  <sheetData>
    <row r="1" spans="1:8" x14ac:dyDescent="0.35">
      <c r="A1" s="2" t="s">
        <v>0</v>
      </c>
      <c r="B1" s="2" t="s">
        <v>1</v>
      </c>
      <c r="C1" s="2" t="s">
        <v>2</v>
      </c>
      <c r="D1" s="2" t="s">
        <v>3</v>
      </c>
      <c r="E1" s="2" t="s">
        <v>4</v>
      </c>
      <c r="F1" s="2" t="s">
        <v>5</v>
      </c>
      <c r="G1" s="2" t="s">
        <v>6</v>
      </c>
      <c r="H1" s="2" t="s">
        <v>7</v>
      </c>
    </row>
    <row r="2" spans="1:8" x14ac:dyDescent="0.35">
      <c r="A2" t="s">
        <v>8</v>
      </c>
      <c r="B2" t="s">
        <v>9</v>
      </c>
      <c r="C2" t="s">
        <v>10</v>
      </c>
      <c r="D2">
        <v>2</v>
      </c>
      <c r="E2" s="1">
        <v>44947</v>
      </c>
      <c r="F2" t="s">
        <v>11</v>
      </c>
      <c r="G2">
        <v>5</v>
      </c>
      <c r="H2">
        <v>4</v>
      </c>
    </row>
    <row r="3" spans="1:8" x14ac:dyDescent="0.35">
      <c r="A3" t="s">
        <v>12</v>
      </c>
      <c r="B3" t="s">
        <v>13</v>
      </c>
      <c r="C3" t="s">
        <v>14</v>
      </c>
      <c r="D3">
        <v>1</v>
      </c>
      <c r="E3" s="1">
        <v>44948</v>
      </c>
      <c r="F3" t="s">
        <v>11</v>
      </c>
      <c r="G3">
        <v>20</v>
      </c>
      <c r="H3">
        <v>3</v>
      </c>
    </row>
    <row r="4" spans="1:8" x14ac:dyDescent="0.35">
      <c r="A4" t="s">
        <v>15</v>
      </c>
      <c r="B4" t="s">
        <v>16</v>
      </c>
      <c r="C4" t="s">
        <v>17</v>
      </c>
      <c r="D4">
        <v>2</v>
      </c>
      <c r="E4" s="1">
        <v>44947</v>
      </c>
      <c r="F4" t="s">
        <v>11</v>
      </c>
      <c r="G4">
        <v>5</v>
      </c>
      <c r="H4">
        <v>1</v>
      </c>
    </row>
    <row r="5" spans="1:8" x14ac:dyDescent="0.35">
      <c r="A5" t="s">
        <v>18</v>
      </c>
      <c r="B5" t="s">
        <v>9</v>
      </c>
      <c r="C5" t="s">
        <v>19</v>
      </c>
      <c r="D5">
        <v>2</v>
      </c>
      <c r="E5" s="1">
        <v>44950</v>
      </c>
      <c r="F5" t="s">
        <v>11</v>
      </c>
      <c r="G5">
        <v>5</v>
      </c>
      <c r="H5">
        <v>1</v>
      </c>
    </row>
    <row r="6" spans="1:8" x14ac:dyDescent="0.35">
      <c r="A6" t="s">
        <v>20</v>
      </c>
      <c r="B6" t="s">
        <v>9</v>
      </c>
      <c r="C6" t="s">
        <v>17</v>
      </c>
      <c r="D6">
        <v>4</v>
      </c>
      <c r="E6" s="1">
        <v>44947</v>
      </c>
      <c r="F6" t="s">
        <v>11</v>
      </c>
      <c r="G6">
        <v>5</v>
      </c>
      <c r="H6">
        <v>1</v>
      </c>
    </row>
    <row r="7" spans="1:8" x14ac:dyDescent="0.35">
      <c r="A7" t="s">
        <v>21</v>
      </c>
      <c r="B7" t="s">
        <v>9</v>
      </c>
      <c r="C7" t="s">
        <v>22</v>
      </c>
      <c r="D7">
        <v>1</v>
      </c>
      <c r="E7" s="1">
        <v>44960</v>
      </c>
      <c r="F7" t="s">
        <v>11</v>
      </c>
      <c r="G7">
        <v>25</v>
      </c>
      <c r="H7">
        <v>5</v>
      </c>
    </row>
    <row r="8" spans="1:8" x14ac:dyDescent="0.35">
      <c r="A8" t="s">
        <v>23</v>
      </c>
      <c r="B8" t="s">
        <v>9</v>
      </c>
      <c r="C8" t="s">
        <v>24</v>
      </c>
      <c r="D8">
        <v>5</v>
      </c>
      <c r="E8" s="1">
        <v>44940</v>
      </c>
      <c r="F8" t="s">
        <v>11</v>
      </c>
      <c r="G8">
        <v>10</v>
      </c>
      <c r="H8">
        <v>4</v>
      </c>
    </row>
    <row r="9" spans="1:8" x14ac:dyDescent="0.35">
      <c r="A9" t="s">
        <v>25</v>
      </c>
      <c r="B9" t="s">
        <v>26</v>
      </c>
      <c r="C9" t="s">
        <v>10</v>
      </c>
      <c r="D9">
        <v>2</v>
      </c>
      <c r="E9" s="1">
        <v>44961</v>
      </c>
      <c r="F9" t="s">
        <v>11</v>
      </c>
      <c r="G9">
        <v>20</v>
      </c>
      <c r="H9">
        <v>5</v>
      </c>
    </row>
    <row r="10" spans="1:8" x14ac:dyDescent="0.35">
      <c r="A10" t="s">
        <v>27</v>
      </c>
      <c r="B10" t="s">
        <v>28</v>
      </c>
      <c r="C10" t="s">
        <v>14</v>
      </c>
      <c r="D10">
        <v>1</v>
      </c>
      <c r="E10" s="1">
        <v>44958</v>
      </c>
      <c r="F10" t="s">
        <v>11</v>
      </c>
      <c r="G10">
        <v>25</v>
      </c>
      <c r="H10">
        <v>4</v>
      </c>
    </row>
    <row r="11" spans="1:8" x14ac:dyDescent="0.35">
      <c r="A11" t="s">
        <v>15</v>
      </c>
      <c r="B11" t="s">
        <v>29</v>
      </c>
      <c r="C11" t="s">
        <v>30</v>
      </c>
      <c r="D11">
        <v>3</v>
      </c>
      <c r="E11" s="1">
        <v>44947</v>
      </c>
      <c r="F11" t="s">
        <v>11</v>
      </c>
      <c r="G11">
        <v>25</v>
      </c>
      <c r="H11">
        <v>5</v>
      </c>
    </row>
    <row r="12" spans="1:8" x14ac:dyDescent="0.35">
      <c r="A12" t="s">
        <v>31</v>
      </c>
      <c r="B12" t="s">
        <v>9</v>
      </c>
      <c r="C12" t="s">
        <v>24</v>
      </c>
      <c r="D12">
        <v>1</v>
      </c>
      <c r="E12" s="1">
        <v>44957</v>
      </c>
      <c r="F12" t="s">
        <v>11</v>
      </c>
      <c r="G12">
        <v>25</v>
      </c>
      <c r="H12">
        <v>5</v>
      </c>
    </row>
    <row r="13" spans="1:8" x14ac:dyDescent="0.35">
      <c r="A13" t="s">
        <v>25</v>
      </c>
      <c r="B13" t="s">
        <v>26</v>
      </c>
      <c r="C13" t="s">
        <v>10</v>
      </c>
      <c r="D13">
        <v>2</v>
      </c>
      <c r="E13" s="1">
        <v>44961</v>
      </c>
      <c r="F13" t="s">
        <v>11</v>
      </c>
      <c r="G13">
        <v>25</v>
      </c>
      <c r="H13">
        <v>3</v>
      </c>
    </row>
    <row r="14" spans="1:8" x14ac:dyDescent="0.35">
      <c r="A14" t="s">
        <v>32</v>
      </c>
      <c r="B14" t="s">
        <v>9</v>
      </c>
      <c r="C14" t="s">
        <v>10</v>
      </c>
      <c r="D14">
        <v>1</v>
      </c>
      <c r="E14" s="1">
        <v>44941</v>
      </c>
      <c r="F14" t="s">
        <v>11</v>
      </c>
      <c r="G14">
        <v>25</v>
      </c>
      <c r="H14">
        <v>5</v>
      </c>
    </row>
    <row r="15" spans="1:8" x14ac:dyDescent="0.35">
      <c r="A15" t="s">
        <v>33</v>
      </c>
      <c r="B15" t="s">
        <v>16</v>
      </c>
      <c r="C15" t="s">
        <v>19</v>
      </c>
      <c r="D15">
        <v>2</v>
      </c>
      <c r="E15" s="1">
        <v>44944</v>
      </c>
      <c r="F15" t="s">
        <v>11</v>
      </c>
      <c r="G15">
        <v>15</v>
      </c>
      <c r="H15">
        <v>2</v>
      </c>
    </row>
    <row r="16" spans="1:8" x14ac:dyDescent="0.35">
      <c r="A16" t="s">
        <v>34</v>
      </c>
      <c r="B16" t="s">
        <v>29</v>
      </c>
      <c r="C16" t="s">
        <v>30</v>
      </c>
      <c r="D16">
        <v>1</v>
      </c>
      <c r="E16" s="1">
        <v>44929</v>
      </c>
      <c r="F16" t="s">
        <v>11</v>
      </c>
      <c r="G16">
        <v>20</v>
      </c>
      <c r="H16">
        <v>3</v>
      </c>
    </row>
    <row r="17" spans="1:8" x14ac:dyDescent="0.35">
      <c r="A17" t="s">
        <v>35</v>
      </c>
      <c r="B17" t="s">
        <v>26</v>
      </c>
      <c r="C17" t="s">
        <v>19</v>
      </c>
      <c r="D17">
        <v>2</v>
      </c>
      <c r="E17" s="1">
        <v>44952</v>
      </c>
      <c r="F17" t="s">
        <v>11</v>
      </c>
      <c r="G17">
        <v>25</v>
      </c>
      <c r="H17">
        <v>5</v>
      </c>
    </row>
    <row r="18" spans="1:8" x14ac:dyDescent="0.35">
      <c r="A18" t="s">
        <v>15</v>
      </c>
      <c r="B18" t="s">
        <v>16</v>
      </c>
      <c r="C18" t="s">
        <v>17</v>
      </c>
      <c r="D18">
        <v>2</v>
      </c>
      <c r="E18" s="1">
        <v>44947</v>
      </c>
      <c r="F18" t="s">
        <v>11</v>
      </c>
      <c r="G18">
        <v>20</v>
      </c>
      <c r="H18">
        <v>1</v>
      </c>
    </row>
    <row r="19" spans="1:8" x14ac:dyDescent="0.35">
      <c r="A19" t="s">
        <v>36</v>
      </c>
      <c r="B19" t="s">
        <v>13</v>
      </c>
      <c r="C19" t="s">
        <v>17</v>
      </c>
      <c r="D19">
        <v>4</v>
      </c>
      <c r="E19" s="1">
        <v>44951</v>
      </c>
      <c r="F19" t="s">
        <v>11</v>
      </c>
      <c r="G19">
        <v>15</v>
      </c>
      <c r="H19">
        <v>2</v>
      </c>
    </row>
    <row r="20" spans="1:8" x14ac:dyDescent="0.35">
      <c r="A20" t="s">
        <v>15</v>
      </c>
      <c r="B20" t="s">
        <v>16</v>
      </c>
      <c r="C20" t="s">
        <v>17</v>
      </c>
      <c r="D20">
        <v>2</v>
      </c>
      <c r="E20" s="1">
        <v>44947</v>
      </c>
      <c r="F20" t="s">
        <v>11</v>
      </c>
      <c r="G20">
        <v>15</v>
      </c>
      <c r="H20">
        <v>2</v>
      </c>
    </row>
    <row r="21" spans="1:8" x14ac:dyDescent="0.35">
      <c r="A21" t="s">
        <v>15</v>
      </c>
      <c r="B21" t="s">
        <v>29</v>
      </c>
      <c r="C21" t="s">
        <v>30</v>
      </c>
      <c r="D21">
        <v>3</v>
      </c>
      <c r="E21" s="1">
        <v>44959</v>
      </c>
      <c r="F21" t="s">
        <v>11</v>
      </c>
      <c r="G21">
        <v>20</v>
      </c>
      <c r="H21">
        <v>2</v>
      </c>
    </row>
    <row r="22" spans="1:8" x14ac:dyDescent="0.35">
      <c r="A22" t="s">
        <v>21</v>
      </c>
      <c r="B22" t="s">
        <v>9</v>
      </c>
      <c r="C22" t="s">
        <v>37</v>
      </c>
      <c r="D22">
        <v>3</v>
      </c>
      <c r="E22" s="1">
        <v>44947</v>
      </c>
      <c r="F22" t="s">
        <v>11</v>
      </c>
      <c r="G22">
        <v>5</v>
      </c>
      <c r="H22">
        <v>3</v>
      </c>
    </row>
    <row r="23" spans="1:8" x14ac:dyDescent="0.35">
      <c r="A23" t="s">
        <v>38</v>
      </c>
      <c r="B23" t="s">
        <v>13</v>
      </c>
      <c r="C23" t="s">
        <v>19</v>
      </c>
      <c r="D23">
        <v>1</v>
      </c>
      <c r="E23" s="1">
        <v>44949</v>
      </c>
      <c r="F23" t="s">
        <v>11</v>
      </c>
      <c r="G23">
        <v>10</v>
      </c>
      <c r="H23">
        <v>5</v>
      </c>
    </row>
    <row r="24" spans="1:8" x14ac:dyDescent="0.35">
      <c r="A24" t="s">
        <v>39</v>
      </c>
      <c r="B24" t="s">
        <v>26</v>
      </c>
      <c r="C24" t="s">
        <v>37</v>
      </c>
      <c r="D24">
        <v>1</v>
      </c>
      <c r="E24" s="1">
        <v>44930</v>
      </c>
      <c r="F24" t="s">
        <v>11</v>
      </c>
      <c r="G24">
        <v>5</v>
      </c>
      <c r="H24">
        <v>3</v>
      </c>
    </row>
    <row r="25" spans="1:8" x14ac:dyDescent="0.35">
      <c r="A25" t="s">
        <v>40</v>
      </c>
      <c r="B25" t="s">
        <v>28</v>
      </c>
      <c r="C25" t="s">
        <v>10</v>
      </c>
      <c r="D25">
        <v>5</v>
      </c>
      <c r="E25" s="1">
        <v>44947</v>
      </c>
      <c r="F25" t="s">
        <v>11</v>
      </c>
      <c r="G25">
        <v>17</v>
      </c>
      <c r="H25">
        <v>1</v>
      </c>
    </row>
    <row r="26" spans="1:8" x14ac:dyDescent="0.35">
      <c r="A26" t="s">
        <v>41</v>
      </c>
      <c r="B26" t="s">
        <v>28</v>
      </c>
      <c r="C26" t="s">
        <v>37</v>
      </c>
      <c r="D26">
        <v>4</v>
      </c>
      <c r="E26" s="1">
        <v>44934</v>
      </c>
      <c r="F26" t="s">
        <v>11</v>
      </c>
      <c r="G26">
        <v>5</v>
      </c>
      <c r="H26">
        <v>1</v>
      </c>
    </row>
    <row r="27" spans="1:8" x14ac:dyDescent="0.35">
      <c r="A27" t="s">
        <v>15</v>
      </c>
      <c r="B27" t="s">
        <v>16</v>
      </c>
      <c r="C27" t="s">
        <v>17</v>
      </c>
      <c r="D27">
        <v>2</v>
      </c>
      <c r="E27" s="1">
        <v>44947</v>
      </c>
      <c r="F27" t="s">
        <v>11</v>
      </c>
      <c r="G27">
        <v>25</v>
      </c>
      <c r="H27">
        <v>3</v>
      </c>
    </row>
    <row r="28" spans="1:8" x14ac:dyDescent="0.35">
      <c r="A28" t="s">
        <v>18</v>
      </c>
      <c r="B28" t="s">
        <v>16</v>
      </c>
      <c r="C28" t="s">
        <v>22</v>
      </c>
      <c r="D28">
        <v>1</v>
      </c>
      <c r="E28" s="1">
        <v>44946</v>
      </c>
      <c r="F28" t="s">
        <v>11</v>
      </c>
      <c r="G28">
        <v>15</v>
      </c>
      <c r="H28">
        <v>1</v>
      </c>
    </row>
    <row r="29" spans="1:8" x14ac:dyDescent="0.35">
      <c r="A29" t="s">
        <v>12</v>
      </c>
      <c r="B29" t="s">
        <v>13</v>
      </c>
      <c r="C29" t="s">
        <v>14</v>
      </c>
      <c r="D29">
        <v>1</v>
      </c>
      <c r="E29" s="1">
        <v>44948</v>
      </c>
      <c r="F29" t="s">
        <v>11</v>
      </c>
      <c r="G29">
        <v>5</v>
      </c>
      <c r="H29">
        <v>3</v>
      </c>
    </row>
    <row r="30" spans="1:8" x14ac:dyDescent="0.35">
      <c r="A30" t="s">
        <v>32</v>
      </c>
      <c r="B30" t="s">
        <v>26</v>
      </c>
      <c r="C30" t="s">
        <v>37</v>
      </c>
      <c r="D30">
        <v>4</v>
      </c>
      <c r="E30" s="1">
        <v>44927</v>
      </c>
      <c r="F30" t="s">
        <v>11</v>
      </c>
      <c r="G30">
        <v>13</v>
      </c>
      <c r="H30">
        <v>5</v>
      </c>
    </row>
    <row r="31" spans="1:8" x14ac:dyDescent="0.35">
      <c r="A31" t="s">
        <v>15</v>
      </c>
      <c r="B31" t="s">
        <v>13</v>
      </c>
      <c r="C31" t="s">
        <v>42</v>
      </c>
      <c r="D31">
        <v>3</v>
      </c>
      <c r="E31" s="1">
        <v>44945</v>
      </c>
      <c r="F31" t="s">
        <v>11</v>
      </c>
      <c r="G31">
        <v>23</v>
      </c>
      <c r="H31">
        <v>2</v>
      </c>
    </row>
    <row r="32" spans="1:8" x14ac:dyDescent="0.35">
      <c r="A32" t="s">
        <v>43</v>
      </c>
      <c r="B32" t="s">
        <v>9</v>
      </c>
      <c r="C32" t="s">
        <v>10</v>
      </c>
      <c r="D32">
        <v>3</v>
      </c>
      <c r="E32" s="1">
        <v>44942</v>
      </c>
      <c r="F32" t="s">
        <v>11</v>
      </c>
      <c r="G32">
        <v>10</v>
      </c>
      <c r="H32">
        <v>1</v>
      </c>
    </row>
    <row r="33" spans="1:8" x14ac:dyDescent="0.35">
      <c r="A33" t="s">
        <v>41</v>
      </c>
      <c r="B33" t="s">
        <v>28</v>
      </c>
      <c r="C33" t="s">
        <v>37</v>
      </c>
      <c r="D33">
        <v>4</v>
      </c>
      <c r="E33" s="1">
        <v>44934</v>
      </c>
      <c r="F33" t="s">
        <v>11</v>
      </c>
      <c r="G33">
        <v>20</v>
      </c>
      <c r="H33">
        <v>3</v>
      </c>
    </row>
    <row r="34" spans="1:8" x14ac:dyDescent="0.35">
      <c r="A34" t="s">
        <v>15</v>
      </c>
      <c r="B34" t="s">
        <v>13</v>
      </c>
      <c r="C34" t="s">
        <v>42</v>
      </c>
      <c r="D34">
        <v>3</v>
      </c>
      <c r="E34" s="1">
        <v>44945</v>
      </c>
      <c r="F34" t="s">
        <v>11</v>
      </c>
      <c r="G34">
        <v>20</v>
      </c>
      <c r="H34">
        <v>3</v>
      </c>
    </row>
    <row r="35" spans="1:8" x14ac:dyDescent="0.35">
      <c r="A35" t="s">
        <v>44</v>
      </c>
      <c r="B35" t="s">
        <v>9</v>
      </c>
      <c r="C35" t="s">
        <v>45</v>
      </c>
      <c r="D35">
        <v>2</v>
      </c>
      <c r="E35" s="1">
        <v>44955</v>
      </c>
      <c r="F35" t="s">
        <v>11</v>
      </c>
      <c r="G35">
        <v>25</v>
      </c>
      <c r="H35">
        <v>1</v>
      </c>
    </row>
    <row r="36" spans="1:8" x14ac:dyDescent="0.35">
      <c r="A36" t="s">
        <v>46</v>
      </c>
      <c r="B36" t="s">
        <v>29</v>
      </c>
      <c r="C36" t="s">
        <v>17</v>
      </c>
      <c r="D36">
        <v>1</v>
      </c>
      <c r="E36" s="1">
        <v>44931</v>
      </c>
      <c r="F36" t="s">
        <v>11</v>
      </c>
      <c r="G36">
        <v>10</v>
      </c>
      <c r="H36">
        <v>3</v>
      </c>
    </row>
    <row r="37" spans="1:8" x14ac:dyDescent="0.35">
      <c r="A37" t="s">
        <v>46</v>
      </c>
      <c r="B37" t="s">
        <v>16</v>
      </c>
      <c r="C37" t="s">
        <v>47</v>
      </c>
      <c r="D37">
        <v>1</v>
      </c>
      <c r="E37" s="1">
        <v>44928</v>
      </c>
      <c r="F37" t="s">
        <v>11</v>
      </c>
      <c r="G37">
        <v>20</v>
      </c>
      <c r="H37">
        <v>1</v>
      </c>
    </row>
    <row r="38" spans="1:8" x14ac:dyDescent="0.35">
      <c r="A38" t="s">
        <v>48</v>
      </c>
      <c r="B38" t="s">
        <v>29</v>
      </c>
      <c r="C38" t="s">
        <v>37</v>
      </c>
      <c r="D38">
        <v>2</v>
      </c>
      <c r="E38" s="1">
        <v>44953</v>
      </c>
      <c r="F38" t="s">
        <v>11</v>
      </c>
      <c r="G38">
        <v>20</v>
      </c>
      <c r="H38">
        <v>2</v>
      </c>
    </row>
    <row r="39" spans="1:8" x14ac:dyDescent="0.35">
      <c r="A39" t="s">
        <v>15</v>
      </c>
      <c r="B39" t="s">
        <v>16</v>
      </c>
      <c r="C39" t="s">
        <v>17</v>
      </c>
      <c r="D39">
        <v>2</v>
      </c>
      <c r="E39" s="1">
        <v>44947</v>
      </c>
      <c r="F39" t="s">
        <v>11</v>
      </c>
      <c r="G39">
        <v>10</v>
      </c>
      <c r="H39">
        <v>1</v>
      </c>
    </row>
    <row r="40" spans="1:8" x14ac:dyDescent="0.35">
      <c r="A40" t="s">
        <v>15</v>
      </c>
      <c r="B40" t="s">
        <v>26</v>
      </c>
      <c r="C40" t="s">
        <v>19</v>
      </c>
      <c r="D40">
        <v>1</v>
      </c>
      <c r="E40" s="1">
        <v>44939</v>
      </c>
      <c r="F40" t="s">
        <v>11</v>
      </c>
      <c r="G40">
        <v>14</v>
      </c>
      <c r="H40">
        <v>3</v>
      </c>
    </row>
    <row r="41" spans="1:8" x14ac:dyDescent="0.35">
      <c r="A41" t="s">
        <v>49</v>
      </c>
      <c r="B41" t="s">
        <v>28</v>
      </c>
      <c r="C41" t="s">
        <v>14</v>
      </c>
      <c r="D41">
        <v>1</v>
      </c>
      <c r="E41" s="1">
        <v>44933</v>
      </c>
      <c r="F41" t="s">
        <v>11</v>
      </c>
      <c r="G41">
        <v>20</v>
      </c>
      <c r="H41">
        <v>1</v>
      </c>
    </row>
    <row r="42" spans="1:8" x14ac:dyDescent="0.35">
      <c r="A42" t="s">
        <v>23</v>
      </c>
      <c r="B42" t="s">
        <v>9</v>
      </c>
      <c r="C42" t="s">
        <v>24</v>
      </c>
      <c r="D42">
        <v>5</v>
      </c>
      <c r="E42" s="1">
        <v>44940</v>
      </c>
      <c r="F42" t="s">
        <v>11</v>
      </c>
      <c r="G42">
        <v>10</v>
      </c>
      <c r="H42">
        <v>5</v>
      </c>
    </row>
    <row r="43" spans="1:8" x14ac:dyDescent="0.35">
      <c r="A43" t="s">
        <v>50</v>
      </c>
      <c r="B43" t="s">
        <v>9</v>
      </c>
      <c r="C43" t="s">
        <v>37</v>
      </c>
      <c r="D43">
        <v>2</v>
      </c>
      <c r="E43" s="1">
        <v>44943</v>
      </c>
      <c r="F43" t="s">
        <v>11</v>
      </c>
      <c r="G43">
        <v>20</v>
      </c>
      <c r="H43">
        <v>4</v>
      </c>
    </row>
    <row r="44" spans="1:8" x14ac:dyDescent="0.35">
      <c r="A44" t="s">
        <v>51</v>
      </c>
      <c r="B44" t="s">
        <v>16</v>
      </c>
      <c r="C44" t="s">
        <v>14</v>
      </c>
      <c r="D44">
        <v>1</v>
      </c>
      <c r="E44" s="1">
        <v>44936</v>
      </c>
      <c r="F44" t="s">
        <v>11</v>
      </c>
      <c r="G44">
        <v>20</v>
      </c>
      <c r="H44">
        <v>1</v>
      </c>
    </row>
    <row r="45" spans="1:8" x14ac:dyDescent="0.35">
      <c r="A45" t="s">
        <v>52</v>
      </c>
      <c r="B45" t="s">
        <v>28</v>
      </c>
      <c r="C45" t="s">
        <v>42</v>
      </c>
      <c r="D45">
        <v>5</v>
      </c>
      <c r="E45" s="1">
        <v>44935</v>
      </c>
      <c r="F45" t="s">
        <v>11</v>
      </c>
      <c r="G45">
        <v>25</v>
      </c>
      <c r="H45">
        <v>5</v>
      </c>
    </row>
    <row r="46" spans="1:8" x14ac:dyDescent="0.35">
      <c r="A46" t="s">
        <v>53</v>
      </c>
      <c r="B46" t="s">
        <v>26</v>
      </c>
      <c r="C46" t="s">
        <v>17</v>
      </c>
      <c r="D46">
        <v>3</v>
      </c>
      <c r="E46" s="1">
        <v>44938</v>
      </c>
      <c r="F46" t="s">
        <v>11</v>
      </c>
      <c r="G46">
        <v>5</v>
      </c>
      <c r="H46">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M55"/>
  <sheetViews>
    <sheetView topLeftCell="E16" workbookViewId="0">
      <selection activeCell="M17" sqref="M17"/>
    </sheetView>
  </sheetViews>
  <sheetFormatPr defaultRowHeight="14.5" x14ac:dyDescent="0.35"/>
  <cols>
    <col min="1" max="1" width="15" bestFit="1" customWidth="1"/>
    <col min="2" max="2" width="16.81640625" bestFit="1" customWidth="1"/>
    <col min="3" max="3" width="2.81640625" customWidth="1"/>
    <col min="4" max="4" width="8.7265625" hidden="1" customWidth="1"/>
    <col min="5" max="5" width="14.36328125" bestFit="1" customWidth="1"/>
    <col min="6" max="6" width="25.26953125" bestFit="1" customWidth="1"/>
    <col min="7" max="7" width="14.36328125" bestFit="1" customWidth="1"/>
    <col min="8" max="8" width="24.81640625" bestFit="1" customWidth="1"/>
    <col min="9" max="9" width="18.1796875" bestFit="1" customWidth="1"/>
    <col min="10" max="10" width="14.54296875" bestFit="1" customWidth="1"/>
  </cols>
  <sheetData>
    <row r="3" spans="1:8" x14ac:dyDescent="0.35">
      <c r="A3" s="3" t="s">
        <v>54</v>
      </c>
      <c r="B3" t="s">
        <v>56</v>
      </c>
      <c r="E3" s="3" t="s">
        <v>54</v>
      </c>
      <c r="F3" t="s">
        <v>58</v>
      </c>
      <c r="G3" s="3" t="s">
        <v>54</v>
      </c>
      <c r="H3" s="3" t="s">
        <v>57</v>
      </c>
    </row>
    <row r="4" spans="1:8" x14ac:dyDescent="0.35">
      <c r="A4" s="4" t="s">
        <v>39</v>
      </c>
      <c r="B4" s="5">
        <v>1</v>
      </c>
      <c r="E4" s="4" t="s">
        <v>42</v>
      </c>
      <c r="F4" s="5">
        <v>22.666666666666668</v>
      </c>
      <c r="G4" s="4" t="s">
        <v>42</v>
      </c>
      <c r="H4" s="5">
        <v>68</v>
      </c>
    </row>
    <row r="5" spans="1:8" x14ac:dyDescent="0.35">
      <c r="A5" s="4" t="s">
        <v>35</v>
      </c>
      <c r="B5" s="5">
        <v>1</v>
      </c>
      <c r="E5" s="4" t="s">
        <v>19</v>
      </c>
      <c r="F5" s="5">
        <v>13.8</v>
      </c>
      <c r="G5" s="4" t="s">
        <v>19</v>
      </c>
      <c r="H5" s="5">
        <v>69</v>
      </c>
    </row>
    <row r="6" spans="1:8" x14ac:dyDescent="0.35">
      <c r="A6" s="4" t="s">
        <v>8</v>
      </c>
      <c r="B6" s="5">
        <v>1</v>
      </c>
      <c r="E6" s="4" t="s">
        <v>17</v>
      </c>
      <c r="F6" s="5">
        <v>12.222222222222221</v>
      </c>
      <c r="G6" s="4" t="s">
        <v>17</v>
      </c>
      <c r="H6" s="5">
        <v>110</v>
      </c>
    </row>
    <row r="7" spans="1:8" x14ac:dyDescent="0.35">
      <c r="A7" s="4" t="s">
        <v>50</v>
      </c>
      <c r="B7" s="5">
        <v>1</v>
      </c>
      <c r="E7" s="4" t="s">
        <v>22</v>
      </c>
      <c r="F7" s="5">
        <v>20</v>
      </c>
      <c r="G7" s="4" t="s">
        <v>22</v>
      </c>
      <c r="H7" s="5">
        <v>40</v>
      </c>
    </row>
    <row r="8" spans="1:8" x14ac:dyDescent="0.35">
      <c r="A8" s="4" t="s">
        <v>21</v>
      </c>
      <c r="B8" s="5">
        <v>2</v>
      </c>
      <c r="E8" s="4" t="s">
        <v>14</v>
      </c>
      <c r="F8" s="5">
        <v>18</v>
      </c>
      <c r="G8" s="4" t="s">
        <v>14</v>
      </c>
      <c r="H8" s="5">
        <v>90</v>
      </c>
    </row>
    <row r="9" spans="1:8" x14ac:dyDescent="0.35">
      <c r="A9" s="4" t="s">
        <v>48</v>
      </c>
      <c r="B9" s="5">
        <v>1</v>
      </c>
      <c r="E9" s="4" t="s">
        <v>45</v>
      </c>
      <c r="F9" s="5">
        <v>25</v>
      </c>
      <c r="G9" s="4" t="s">
        <v>45</v>
      </c>
      <c r="H9" s="5">
        <v>25</v>
      </c>
    </row>
    <row r="10" spans="1:8" x14ac:dyDescent="0.35">
      <c r="A10" s="4" t="s">
        <v>31</v>
      </c>
      <c r="B10" s="5">
        <v>1</v>
      </c>
      <c r="E10" s="4" t="s">
        <v>30</v>
      </c>
      <c r="F10" s="5">
        <v>21.666666666666668</v>
      </c>
      <c r="G10" s="4" t="s">
        <v>30</v>
      </c>
      <c r="H10" s="5">
        <v>65</v>
      </c>
    </row>
    <row r="11" spans="1:8" x14ac:dyDescent="0.35">
      <c r="A11" s="4" t="s">
        <v>32</v>
      </c>
      <c r="B11" s="5">
        <v>2</v>
      </c>
      <c r="E11" s="4" t="s">
        <v>37</v>
      </c>
      <c r="F11" s="5">
        <v>12.571428571428571</v>
      </c>
      <c r="G11" s="4" t="s">
        <v>37</v>
      </c>
      <c r="H11" s="5">
        <v>88</v>
      </c>
    </row>
    <row r="12" spans="1:8" x14ac:dyDescent="0.35">
      <c r="A12" s="4" t="s">
        <v>36</v>
      </c>
      <c r="B12" s="5">
        <v>1</v>
      </c>
      <c r="E12" s="4" t="s">
        <v>10</v>
      </c>
      <c r="F12" s="5">
        <v>17</v>
      </c>
      <c r="G12" s="4" t="s">
        <v>10</v>
      </c>
      <c r="H12" s="5">
        <v>102</v>
      </c>
    </row>
    <row r="13" spans="1:8" x14ac:dyDescent="0.35">
      <c r="A13" s="4" t="s">
        <v>33</v>
      </c>
      <c r="B13" s="5">
        <v>1</v>
      </c>
      <c r="E13" s="4" t="s">
        <v>24</v>
      </c>
      <c r="F13" s="5">
        <v>15</v>
      </c>
      <c r="G13" s="4" t="s">
        <v>24</v>
      </c>
      <c r="H13" s="5">
        <v>45</v>
      </c>
    </row>
    <row r="14" spans="1:8" x14ac:dyDescent="0.35">
      <c r="A14" s="4" t="s">
        <v>34</v>
      </c>
      <c r="B14" s="5">
        <v>1</v>
      </c>
      <c r="E14" s="4" t="s">
        <v>47</v>
      </c>
      <c r="F14" s="5">
        <v>20</v>
      </c>
      <c r="G14" s="4" t="s">
        <v>47</v>
      </c>
      <c r="H14" s="5">
        <v>20</v>
      </c>
    </row>
    <row r="15" spans="1:8" x14ac:dyDescent="0.35">
      <c r="A15" s="4" t="s">
        <v>25</v>
      </c>
      <c r="B15" s="5">
        <v>2</v>
      </c>
      <c r="E15" s="4" t="s">
        <v>55</v>
      </c>
      <c r="F15" s="5">
        <v>16.044444444444444</v>
      </c>
      <c r="G15" s="4" t="s">
        <v>55</v>
      </c>
      <c r="H15" s="5">
        <v>722</v>
      </c>
    </row>
    <row r="16" spans="1:8" x14ac:dyDescent="0.35">
      <c r="A16" s="4" t="s">
        <v>18</v>
      </c>
      <c r="B16" s="5">
        <v>2</v>
      </c>
    </row>
    <row r="17" spans="1:13" x14ac:dyDescent="0.35">
      <c r="A17" s="4" t="s">
        <v>52</v>
      </c>
      <c r="B17" s="5">
        <v>1</v>
      </c>
      <c r="E17" s="3" t="s">
        <v>54</v>
      </c>
      <c r="F17" t="s">
        <v>59</v>
      </c>
      <c r="G17" s="3" t="s">
        <v>54</v>
      </c>
      <c r="H17" t="s">
        <v>60</v>
      </c>
      <c r="I17" s="3" t="s">
        <v>54</v>
      </c>
      <c r="J17" t="s">
        <v>61</v>
      </c>
      <c r="M17">
        <f>GETPIVOTDATA("Quantity",$I$17,"Quantity",2)</f>
        <v>12</v>
      </c>
    </row>
    <row r="18" spans="1:13" x14ac:dyDescent="0.35">
      <c r="A18" s="4" t="s">
        <v>27</v>
      </c>
      <c r="B18" s="5">
        <v>1</v>
      </c>
      <c r="E18" s="4" t="s">
        <v>42</v>
      </c>
      <c r="F18" s="5">
        <v>25</v>
      </c>
      <c r="G18" s="4" t="s">
        <v>42</v>
      </c>
      <c r="H18" s="5">
        <v>20</v>
      </c>
      <c r="I18" s="4">
        <v>1</v>
      </c>
      <c r="J18" s="5">
        <v>13</v>
      </c>
    </row>
    <row r="19" spans="1:13" x14ac:dyDescent="0.35">
      <c r="A19" s="4" t="s">
        <v>44</v>
      </c>
      <c r="B19" s="5">
        <v>1</v>
      </c>
      <c r="E19" s="4" t="s">
        <v>19</v>
      </c>
      <c r="F19" s="5">
        <v>25</v>
      </c>
      <c r="G19" s="4" t="s">
        <v>19</v>
      </c>
      <c r="H19" s="5">
        <v>5</v>
      </c>
      <c r="I19" s="6" t="s">
        <v>19</v>
      </c>
      <c r="J19" s="5">
        <v>1</v>
      </c>
    </row>
    <row r="20" spans="1:13" x14ac:dyDescent="0.35">
      <c r="A20" s="4" t="s">
        <v>51</v>
      </c>
      <c r="B20" s="5">
        <v>1</v>
      </c>
      <c r="E20" s="4" t="s">
        <v>17</v>
      </c>
      <c r="F20" s="5">
        <v>25</v>
      </c>
      <c r="G20" s="4" t="s">
        <v>17</v>
      </c>
      <c r="H20" s="5">
        <v>5</v>
      </c>
      <c r="I20" s="6" t="s">
        <v>17</v>
      </c>
      <c r="J20" s="5">
        <v>4</v>
      </c>
    </row>
    <row r="21" spans="1:13" x14ac:dyDescent="0.35">
      <c r="A21" s="4" t="s">
        <v>41</v>
      </c>
      <c r="B21" s="5">
        <v>2</v>
      </c>
      <c r="E21" s="4" t="s">
        <v>22</v>
      </c>
      <c r="F21" s="5">
        <v>25</v>
      </c>
      <c r="G21" s="4" t="s">
        <v>22</v>
      </c>
      <c r="H21" s="5">
        <v>15</v>
      </c>
      <c r="I21" s="6" t="s">
        <v>22</v>
      </c>
      <c r="J21" s="5">
        <v>1</v>
      </c>
    </row>
    <row r="22" spans="1:13" x14ac:dyDescent="0.35">
      <c r="A22" s="4" t="s">
        <v>40</v>
      </c>
      <c r="B22" s="5">
        <v>1</v>
      </c>
      <c r="E22" s="4" t="s">
        <v>14</v>
      </c>
      <c r="F22" s="5">
        <v>25</v>
      </c>
      <c r="G22" s="4" t="s">
        <v>14</v>
      </c>
      <c r="H22" s="5">
        <v>5</v>
      </c>
      <c r="I22" s="6" t="s">
        <v>14</v>
      </c>
      <c r="J22" s="5">
        <v>2</v>
      </c>
    </row>
    <row r="23" spans="1:13" x14ac:dyDescent="0.35">
      <c r="A23" s="4" t="s">
        <v>46</v>
      </c>
      <c r="B23" s="5">
        <v>2</v>
      </c>
      <c r="E23" s="4" t="s">
        <v>45</v>
      </c>
      <c r="F23" s="5">
        <v>25</v>
      </c>
      <c r="G23" s="4" t="s">
        <v>45</v>
      </c>
      <c r="H23" s="5">
        <v>25</v>
      </c>
      <c r="I23" s="6" t="s">
        <v>45</v>
      </c>
      <c r="J23" s="5">
        <v>1</v>
      </c>
    </row>
    <row r="24" spans="1:13" x14ac:dyDescent="0.35">
      <c r="A24" s="4" t="s">
        <v>49</v>
      </c>
      <c r="B24" s="5">
        <v>1</v>
      </c>
      <c r="E24" s="4" t="s">
        <v>30</v>
      </c>
      <c r="F24" s="5">
        <v>25</v>
      </c>
      <c r="G24" s="4" t="s">
        <v>30</v>
      </c>
      <c r="H24" s="5">
        <v>20</v>
      </c>
      <c r="I24" s="6" t="s">
        <v>37</v>
      </c>
      <c r="J24" s="5">
        <v>1</v>
      </c>
    </row>
    <row r="25" spans="1:13" x14ac:dyDescent="0.35">
      <c r="A25" s="4" t="s">
        <v>20</v>
      </c>
      <c r="B25" s="5">
        <v>1</v>
      </c>
      <c r="E25" s="4" t="s">
        <v>37</v>
      </c>
      <c r="F25" s="5">
        <v>20</v>
      </c>
      <c r="G25" s="4" t="s">
        <v>37</v>
      </c>
      <c r="H25" s="5">
        <v>5</v>
      </c>
      <c r="I25" s="6" t="s">
        <v>10</v>
      </c>
      <c r="J25" s="5">
        <v>2</v>
      </c>
    </row>
    <row r="26" spans="1:13" x14ac:dyDescent="0.35">
      <c r="A26" s="4" t="s">
        <v>43</v>
      </c>
      <c r="B26" s="5">
        <v>1</v>
      </c>
      <c r="E26" s="4" t="s">
        <v>10</v>
      </c>
      <c r="F26" s="5">
        <v>25</v>
      </c>
      <c r="G26" s="4" t="s">
        <v>10</v>
      </c>
      <c r="H26" s="5">
        <v>5</v>
      </c>
      <c r="I26" s="6" t="s">
        <v>47</v>
      </c>
      <c r="J26" s="5">
        <v>1</v>
      </c>
    </row>
    <row r="27" spans="1:13" x14ac:dyDescent="0.35">
      <c r="A27" s="4" t="s">
        <v>15</v>
      </c>
      <c r="B27" s="5">
        <v>10</v>
      </c>
      <c r="E27" s="4" t="s">
        <v>24</v>
      </c>
      <c r="F27" s="5">
        <v>25</v>
      </c>
      <c r="G27" s="4" t="s">
        <v>24</v>
      </c>
      <c r="H27" s="5">
        <v>10</v>
      </c>
      <c r="I27" s="4">
        <v>2</v>
      </c>
      <c r="J27" s="5">
        <v>12</v>
      </c>
    </row>
    <row r="28" spans="1:13" x14ac:dyDescent="0.35">
      <c r="A28" s="4" t="s">
        <v>38</v>
      </c>
      <c r="B28" s="5">
        <v>1</v>
      </c>
      <c r="E28" s="4" t="s">
        <v>47</v>
      </c>
      <c r="F28" s="5">
        <v>20</v>
      </c>
      <c r="G28" s="4" t="s">
        <v>47</v>
      </c>
      <c r="H28" s="5">
        <v>20</v>
      </c>
      <c r="I28" s="6" t="s">
        <v>42</v>
      </c>
      <c r="J28" s="5">
        <v>2</v>
      </c>
    </row>
    <row r="29" spans="1:13" x14ac:dyDescent="0.35">
      <c r="A29" s="4" t="s">
        <v>53</v>
      </c>
      <c r="B29" s="5">
        <v>1</v>
      </c>
      <c r="E29" s="4" t="s">
        <v>55</v>
      </c>
      <c r="F29" s="5">
        <v>25</v>
      </c>
      <c r="G29" s="4" t="s">
        <v>55</v>
      </c>
      <c r="H29" s="5">
        <v>5</v>
      </c>
      <c r="I29" s="6" t="s">
        <v>19</v>
      </c>
      <c r="J29" s="5">
        <v>2</v>
      </c>
    </row>
    <row r="30" spans="1:13" x14ac:dyDescent="0.35">
      <c r="A30" s="4" t="s">
        <v>12</v>
      </c>
      <c r="B30" s="5">
        <v>2</v>
      </c>
      <c r="I30" s="6" t="s">
        <v>17</v>
      </c>
      <c r="J30" s="5">
        <v>4</v>
      </c>
    </row>
    <row r="31" spans="1:13" x14ac:dyDescent="0.35">
      <c r="A31" s="4" t="s">
        <v>23</v>
      </c>
      <c r="B31" s="5">
        <v>2</v>
      </c>
      <c r="I31" s="6" t="s">
        <v>30</v>
      </c>
      <c r="J31" s="5">
        <v>2</v>
      </c>
    </row>
    <row r="32" spans="1:13" x14ac:dyDescent="0.35">
      <c r="A32" s="4" t="s">
        <v>55</v>
      </c>
      <c r="B32" s="5">
        <v>45</v>
      </c>
      <c r="I32" s="6" t="s">
        <v>37</v>
      </c>
      <c r="J32" s="5">
        <v>2</v>
      </c>
    </row>
    <row r="33" spans="9:10" x14ac:dyDescent="0.35">
      <c r="I33" s="4">
        <v>3</v>
      </c>
      <c r="J33" s="5">
        <v>33</v>
      </c>
    </row>
    <row r="34" spans="9:10" x14ac:dyDescent="0.35">
      <c r="I34" s="6" t="s">
        <v>42</v>
      </c>
      <c r="J34" s="5">
        <v>3</v>
      </c>
    </row>
    <row r="35" spans="9:10" x14ac:dyDescent="0.35">
      <c r="I35" s="6" t="s">
        <v>19</v>
      </c>
      <c r="J35" s="5">
        <v>3</v>
      </c>
    </row>
    <row r="36" spans="9:10" x14ac:dyDescent="0.35">
      <c r="I36" s="6" t="s">
        <v>17</v>
      </c>
      <c r="J36" s="5">
        <v>6</v>
      </c>
    </row>
    <row r="37" spans="9:10" x14ac:dyDescent="0.35">
      <c r="I37" s="6" t="s">
        <v>14</v>
      </c>
      <c r="J37" s="5">
        <v>6</v>
      </c>
    </row>
    <row r="38" spans="9:10" x14ac:dyDescent="0.35">
      <c r="I38" s="6" t="s">
        <v>30</v>
      </c>
      <c r="J38" s="5">
        <v>3</v>
      </c>
    </row>
    <row r="39" spans="9:10" x14ac:dyDescent="0.35">
      <c r="I39" s="6" t="s">
        <v>37</v>
      </c>
      <c r="J39" s="5">
        <v>9</v>
      </c>
    </row>
    <row r="40" spans="9:10" x14ac:dyDescent="0.35">
      <c r="I40" s="6" t="s">
        <v>10</v>
      </c>
      <c r="J40" s="5">
        <v>3</v>
      </c>
    </row>
    <row r="41" spans="9:10" x14ac:dyDescent="0.35">
      <c r="I41" s="4">
        <v>4</v>
      </c>
      <c r="J41" s="5">
        <v>16</v>
      </c>
    </row>
    <row r="42" spans="9:10" x14ac:dyDescent="0.35">
      <c r="I42" s="6" t="s">
        <v>14</v>
      </c>
      <c r="J42" s="5">
        <v>4</v>
      </c>
    </row>
    <row r="43" spans="9:10" x14ac:dyDescent="0.35">
      <c r="I43" s="6" t="s">
        <v>37</v>
      </c>
      <c r="J43" s="5">
        <v>4</v>
      </c>
    </row>
    <row r="44" spans="9:10" x14ac:dyDescent="0.35">
      <c r="I44" s="6" t="s">
        <v>10</v>
      </c>
      <c r="J44" s="5">
        <v>4</v>
      </c>
    </row>
    <row r="45" spans="9:10" x14ac:dyDescent="0.35">
      <c r="I45" s="6" t="s">
        <v>24</v>
      </c>
      <c r="J45" s="5">
        <v>4</v>
      </c>
    </row>
    <row r="46" spans="9:10" x14ac:dyDescent="0.35">
      <c r="I46" s="4">
        <v>5</v>
      </c>
      <c r="J46" s="5">
        <v>55</v>
      </c>
    </row>
    <row r="47" spans="9:10" x14ac:dyDescent="0.35">
      <c r="I47" s="6" t="s">
        <v>42</v>
      </c>
      <c r="J47" s="5">
        <v>5</v>
      </c>
    </row>
    <row r="48" spans="9:10" x14ac:dyDescent="0.35">
      <c r="I48" s="6" t="s">
        <v>19</v>
      </c>
      <c r="J48" s="5">
        <v>10</v>
      </c>
    </row>
    <row r="49" spans="9:10" x14ac:dyDescent="0.35">
      <c r="I49" s="6" t="s">
        <v>17</v>
      </c>
      <c r="J49" s="5">
        <v>5</v>
      </c>
    </row>
    <row r="50" spans="9:10" x14ac:dyDescent="0.35">
      <c r="I50" s="6" t="s">
        <v>22</v>
      </c>
      <c r="J50" s="5">
        <v>5</v>
      </c>
    </row>
    <row r="51" spans="9:10" x14ac:dyDescent="0.35">
      <c r="I51" s="6" t="s">
        <v>30</v>
      </c>
      <c r="J51" s="5">
        <v>5</v>
      </c>
    </row>
    <row r="52" spans="9:10" x14ac:dyDescent="0.35">
      <c r="I52" s="6" t="s">
        <v>37</v>
      </c>
      <c r="J52" s="5">
        <v>5</v>
      </c>
    </row>
    <row r="53" spans="9:10" x14ac:dyDescent="0.35">
      <c r="I53" s="6" t="s">
        <v>10</v>
      </c>
      <c r="J53" s="5">
        <v>10</v>
      </c>
    </row>
    <row r="54" spans="9:10" x14ac:dyDescent="0.35">
      <c r="I54" s="6" t="s">
        <v>24</v>
      </c>
      <c r="J54" s="5">
        <v>10</v>
      </c>
    </row>
    <row r="55" spans="9:10" x14ac:dyDescent="0.35">
      <c r="I55" s="4" t="s">
        <v>55</v>
      </c>
      <c r="J55" s="5">
        <v>129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F29"/>
  <sheetViews>
    <sheetView topLeftCell="A3" workbookViewId="0">
      <selection activeCell="A17" sqref="A17"/>
    </sheetView>
  </sheetViews>
  <sheetFormatPr defaultRowHeight="14.5" x14ac:dyDescent="0.35"/>
  <cols>
    <col min="1" max="1" width="14.36328125" bestFit="1" customWidth="1"/>
    <col min="2" max="2" width="16" bestFit="1" customWidth="1"/>
    <col min="3" max="3" width="25.26953125" bestFit="1" customWidth="1"/>
    <col min="4" max="4" width="14.36328125" bestFit="1" customWidth="1"/>
    <col min="5" max="5" width="16" bestFit="1" customWidth="1"/>
    <col min="6" max="6" width="24.81640625" bestFit="1" customWidth="1"/>
  </cols>
  <sheetData>
    <row r="3" spans="1:6" x14ac:dyDescent="0.35">
      <c r="A3" s="3" t="s">
        <v>54</v>
      </c>
      <c r="B3" t="s">
        <v>62</v>
      </c>
      <c r="C3" t="s">
        <v>59</v>
      </c>
      <c r="D3" s="3" t="s">
        <v>54</v>
      </c>
      <c r="E3" t="s">
        <v>62</v>
      </c>
      <c r="F3" t="s">
        <v>60</v>
      </c>
    </row>
    <row r="4" spans="1:6" x14ac:dyDescent="0.35">
      <c r="A4" s="4" t="s">
        <v>42</v>
      </c>
      <c r="B4" s="5">
        <v>3</v>
      </c>
      <c r="C4" s="5">
        <v>25</v>
      </c>
      <c r="D4" s="4" t="s">
        <v>42</v>
      </c>
      <c r="E4" s="5">
        <v>3</v>
      </c>
      <c r="F4" s="5">
        <v>20</v>
      </c>
    </row>
    <row r="5" spans="1:6" x14ac:dyDescent="0.35">
      <c r="A5" s="4" t="s">
        <v>19</v>
      </c>
      <c r="B5" s="5">
        <v>5</v>
      </c>
      <c r="C5" s="5">
        <v>25</v>
      </c>
      <c r="D5" s="4" t="s">
        <v>19</v>
      </c>
      <c r="E5" s="5">
        <v>5</v>
      </c>
      <c r="F5" s="5">
        <v>5</v>
      </c>
    </row>
    <row r="6" spans="1:6" x14ac:dyDescent="0.35">
      <c r="A6" s="4" t="s">
        <v>17</v>
      </c>
      <c r="B6" s="5">
        <v>9</v>
      </c>
      <c r="C6" s="5">
        <v>25</v>
      </c>
      <c r="D6" s="4" t="s">
        <v>17</v>
      </c>
      <c r="E6" s="5">
        <v>9</v>
      </c>
      <c r="F6" s="5">
        <v>5</v>
      </c>
    </row>
    <row r="7" spans="1:6" x14ac:dyDescent="0.35">
      <c r="A7" s="4" t="s">
        <v>22</v>
      </c>
      <c r="B7" s="5">
        <v>2</v>
      </c>
      <c r="C7" s="5">
        <v>25</v>
      </c>
      <c r="D7" s="4" t="s">
        <v>22</v>
      </c>
      <c r="E7" s="5">
        <v>2</v>
      </c>
      <c r="F7" s="5">
        <v>15</v>
      </c>
    </row>
    <row r="8" spans="1:6" x14ac:dyDescent="0.35">
      <c r="A8" s="4" t="s">
        <v>14</v>
      </c>
      <c r="B8" s="5">
        <v>5</v>
      </c>
      <c r="C8" s="5">
        <v>25</v>
      </c>
      <c r="D8" s="4" t="s">
        <v>14</v>
      </c>
      <c r="E8" s="5">
        <v>5</v>
      </c>
      <c r="F8" s="5">
        <v>5</v>
      </c>
    </row>
    <row r="9" spans="1:6" x14ac:dyDescent="0.35">
      <c r="A9" s="4" t="s">
        <v>45</v>
      </c>
      <c r="B9" s="5">
        <v>1</v>
      </c>
      <c r="C9" s="5">
        <v>25</v>
      </c>
      <c r="D9" s="4" t="s">
        <v>45</v>
      </c>
      <c r="E9" s="5">
        <v>1</v>
      </c>
      <c r="F9" s="5">
        <v>25</v>
      </c>
    </row>
    <row r="10" spans="1:6" x14ac:dyDescent="0.35">
      <c r="A10" s="4" t="s">
        <v>30</v>
      </c>
      <c r="B10" s="5">
        <v>3</v>
      </c>
      <c r="C10" s="5">
        <v>25</v>
      </c>
      <c r="D10" s="4" t="s">
        <v>30</v>
      </c>
      <c r="E10" s="5">
        <v>3</v>
      </c>
      <c r="F10" s="5">
        <v>20</v>
      </c>
    </row>
    <row r="11" spans="1:6" x14ac:dyDescent="0.35">
      <c r="A11" s="4" t="s">
        <v>37</v>
      </c>
      <c r="B11" s="5">
        <v>7</v>
      </c>
      <c r="C11" s="5">
        <v>20</v>
      </c>
      <c r="D11" s="4" t="s">
        <v>37</v>
      </c>
      <c r="E11" s="5">
        <v>7</v>
      </c>
      <c r="F11" s="5">
        <v>5</v>
      </c>
    </row>
    <row r="12" spans="1:6" x14ac:dyDescent="0.35">
      <c r="A12" s="4" t="s">
        <v>10</v>
      </c>
      <c r="B12" s="5">
        <v>6</v>
      </c>
      <c r="C12" s="5">
        <v>25</v>
      </c>
      <c r="D12" s="4" t="s">
        <v>10</v>
      </c>
      <c r="E12" s="5">
        <v>6</v>
      </c>
      <c r="F12" s="5">
        <v>5</v>
      </c>
    </row>
    <row r="13" spans="1:6" x14ac:dyDescent="0.35">
      <c r="A13" s="4" t="s">
        <v>24</v>
      </c>
      <c r="B13" s="5">
        <v>3</v>
      </c>
      <c r="C13" s="5">
        <v>25</v>
      </c>
      <c r="D13" s="4" t="s">
        <v>24</v>
      </c>
      <c r="E13" s="5">
        <v>3</v>
      </c>
      <c r="F13" s="5">
        <v>10</v>
      </c>
    </row>
    <row r="14" spans="1:6" x14ac:dyDescent="0.35">
      <c r="A14" s="4" t="s">
        <v>47</v>
      </c>
      <c r="B14" s="5">
        <v>1</v>
      </c>
      <c r="C14" s="5">
        <v>20</v>
      </c>
      <c r="D14" s="4" t="s">
        <v>47</v>
      </c>
      <c r="E14" s="5">
        <v>1</v>
      </c>
      <c r="F14" s="5">
        <v>20</v>
      </c>
    </row>
    <row r="15" spans="1:6" x14ac:dyDescent="0.35">
      <c r="A15" s="4" t="s">
        <v>55</v>
      </c>
      <c r="B15" s="5">
        <v>45</v>
      </c>
      <c r="C15" s="5">
        <v>25</v>
      </c>
      <c r="D15" s="4" t="s">
        <v>55</v>
      </c>
      <c r="E15" s="5">
        <v>45</v>
      </c>
      <c r="F15" s="5">
        <v>5</v>
      </c>
    </row>
    <row r="17" spans="1:6" x14ac:dyDescent="0.35">
      <c r="A17" s="3" t="s">
        <v>54</v>
      </c>
      <c r="B17" s="3" t="s">
        <v>62</v>
      </c>
      <c r="C17" s="3" t="s">
        <v>60</v>
      </c>
      <c r="D17" s="3"/>
      <c r="E17" s="3"/>
      <c r="F17" s="3"/>
    </row>
    <row r="18" spans="1:6" x14ac:dyDescent="0.35">
      <c r="A18" s="4" t="s">
        <v>42</v>
      </c>
      <c r="B18" s="5">
        <v>3</v>
      </c>
      <c r="C18" s="5">
        <v>20</v>
      </c>
    </row>
    <row r="19" spans="1:6" x14ac:dyDescent="0.35">
      <c r="A19" s="4" t="s">
        <v>19</v>
      </c>
      <c r="B19" s="5">
        <v>5</v>
      </c>
      <c r="C19" s="5">
        <v>5</v>
      </c>
    </row>
    <row r="20" spans="1:6" x14ac:dyDescent="0.35">
      <c r="A20" s="4" t="s">
        <v>17</v>
      </c>
      <c r="B20" s="5">
        <v>9</v>
      </c>
      <c r="C20" s="5">
        <v>5</v>
      </c>
    </row>
    <row r="21" spans="1:6" x14ac:dyDescent="0.35">
      <c r="A21" s="4" t="s">
        <v>22</v>
      </c>
      <c r="B21" s="5">
        <v>2</v>
      </c>
      <c r="C21" s="5">
        <v>15</v>
      </c>
    </row>
    <row r="22" spans="1:6" x14ac:dyDescent="0.35">
      <c r="A22" s="4" t="s">
        <v>14</v>
      </c>
      <c r="B22" s="5">
        <v>5</v>
      </c>
      <c r="C22" s="5">
        <v>5</v>
      </c>
    </row>
    <row r="23" spans="1:6" x14ac:dyDescent="0.35">
      <c r="A23" s="4" t="s">
        <v>45</v>
      </c>
      <c r="B23" s="5">
        <v>1</v>
      </c>
      <c r="C23" s="5">
        <v>25</v>
      </c>
    </row>
    <row r="24" spans="1:6" x14ac:dyDescent="0.35">
      <c r="A24" s="4" t="s">
        <v>30</v>
      </c>
      <c r="B24" s="5">
        <v>3</v>
      </c>
      <c r="C24" s="5">
        <v>20</v>
      </c>
    </row>
    <row r="25" spans="1:6" x14ac:dyDescent="0.35">
      <c r="A25" s="4" t="s">
        <v>37</v>
      </c>
      <c r="B25" s="5">
        <v>7</v>
      </c>
      <c r="C25" s="5">
        <v>5</v>
      </c>
    </row>
    <row r="26" spans="1:6" x14ac:dyDescent="0.35">
      <c r="A26" s="4" t="s">
        <v>10</v>
      </c>
      <c r="B26" s="5">
        <v>6</v>
      </c>
      <c r="C26" s="5">
        <v>5</v>
      </c>
    </row>
    <row r="27" spans="1:6" x14ac:dyDescent="0.35">
      <c r="A27" s="4" t="s">
        <v>24</v>
      </c>
      <c r="B27" s="5">
        <v>3</v>
      </c>
      <c r="C27" s="5">
        <v>10</v>
      </c>
    </row>
    <row r="28" spans="1:6" x14ac:dyDescent="0.35">
      <c r="A28" s="4" t="s">
        <v>47</v>
      </c>
      <c r="B28" s="5">
        <v>1</v>
      </c>
      <c r="C28" s="5">
        <v>20</v>
      </c>
    </row>
    <row r="29" spans="1:6" x14ac:dyDescent="0.35">
      <c r="A29" s="4" t="s">
        <v>55</v>
      </c>
      <c r="B29" s="5">
        <v>45</v>
      </c>
      <c r="C29" s="5">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2964D-A9DB-4DA8-AA26-35EAC5797E93}">
  <dimension ref="A3:B37"/>
  <sheetViews>
    <sheetView workbookViewId="0">
      <selection activeCell="B4" sqref="B4"/>
    </sheetView>
  </sheetViews>
  <sheetFormatPr defaultRowHeight="14.5" x14ac:dyDescent="0.35"/>
  <cols>
    <col min="1" max="1" width="18.1796875" bestFit="1" customWidth="1"/>
    <col min="2" max="2" width="14.36328125" bestFit="1" customWidth="1"/>
  </cols>
  <sheetData>
    <row r="3" spans="1:2" x14ac:dyDescent="0.35">
      <c r="A3" s="3" t="s">
        <v>54</v>
      </c>
      <c r="B3" t="s">
        <v>65</v>
      </c>
    </row>
    <row r="4" spans="1:2" x14ac:dyDescent="0.35">
      <c r="A4" s="4" t="s">
        <v>13</v>
      </c>
      <c r="B4" s="5">
        <v>261</v>
      </c>
    </row>
    <row r="5" spans="1:2" x14ac:dyDescent="0.35">
      <c r="A5" s="6" t="s">
        <v>42</v>
      </c>
      <c r="B5" s="5">
        <v>106</v>
      </c>
    </row>
    <row r="6" spans="1:2" x14ac:dyDescent="0.35">
      <c r="A6" s="6" t="s">
        <v>19</v>
      </c>
      <c r="B6" s="5">
        <v>50</v>
      </c>
    </row>
    <row r="7" spans="1:2" x14ac:dyDescent="0.35">
      <c r="A7" s="6" t="s">
        <v>17</v>
      </c>
      <c r="B7" s="5">
        <v>30</v>
      </c>
    </row>
    <row r="8" spans="1:2" x14ac:dyDescent="0.35">
      <c r="A8" s="6" t="s">
        <v>14</v>
      </c>
      <c r="B8" s="5">
        <v>75</v>
      </c>
    </row>
    <row r="9" spans="1:2" x14ac:dyDescent="0.35">
      <c r="A9" s="4" t="s">
        <v>26</v>
      </c>
      <c r="B9" s="5">
        <v>447</v>
      </c>
    </row>
    <row r="10" spans="1:2" x14ac:dyDescent="0.35">
      <c r="A10" s="6" t="s">
        <v>19</v>
      </c>
      <c r="B10" s="5">
        <v>167</v>
      </c>
    </row>
    <row r="11" spans="1:2" x14ac:dyDescent="0.35">
      <c r="A11" s="6" t="s">
        <v>17</v>
      </c>
      <c r="B11" s="5">
        <v>25</v>
      </c>
    </row>
    <row r="12" spans="1:2" x14ac:dyDescent="0.35">
      <c r="A12" s="6" t="s">
        <v>37</v>
      </c>
      <c r="B12" s="5">
        <v>80</v>
      </c>
    </row>
    <row r="13" spans="1:2" x14ac:dyDescent="0.35">
      <c r="A13" s="6" t="s">
        <v>10</v>
      </c>
      <c r="B13" s="5">
        <v>175</v>
      </c>
    </row>
    <row r="14" spans="1:2" x14ac:dyDescent="0.35">
      <c r="A14" s="4" t="s">
        <v>29</v>
      </c>
      <c r="B14" s="5">
        <v>295</v>
      </c>
    </row>
    <row r="15" spans="1:2" x14ac:dyDescent="0.35">
      <c r="A15" s="6" t="s">
        <v>17</v>
      </c>
      <c r="B15" s="5">
        <v>30</v>
      </c>
    </row>
    <row r="16" spans="1:2" x14ac:dyDescent="0.35">
      <c r="A16" s="6" t="s">
        <v>30</v>
      </c>
      <c r="B16" s="5">
        <v>225</v>
      </c>
    </row>
    <row r="17" spans="1:2" x14ac:dyDescent="0.35">
      <c r="A17" s="6" t="s">
        <v>37</v>
      </c>
      <c r="B17" s="5">
        <v>40</v>
      </c>
    </row>
    <row r="18" spans="1:2" x14ac:dyDescent="0.35">
      <c r="A18" s="4" t="s">
        <v>9</v>
      </c>
      <c r="B18" s="5">
        <v>625</v>
      </c>
    </row>
    <row r="19" spans="1:2" x14ac:dyDescent="0.35">
      <c r="A19" s="6" t="s">
        <v>19</v>
      </c>
      <c r="B19" s="5">
        <v>5</v>
      </c>
    </row>
    <row r="20" spans="1:2" x14ac:dyDescent="0.35">
      <c r="A20" s="6" t="s">
        <v>17</v>
      </c>
      <c r="B20" s="5">
        <v>5</v>
      </c>
    </row>
    <row r="21" spans="1:2" x14ac:dyDescent="0.35">
      <c r="A21" s="6" t="s">
        <v>22</v>
      </c>
      <c r="B21" s="5">
        <v>125</v>
      </c>
    </row>
    <row r="22" spans="1:2" x14ac:dyDescent="0.35">
      <c r="A22" s="6" t="s">
        <v>45</v>
      </c>
      <c r="B22" s="5">
        <v>25</v>
      </c>
    </row>
    <row r="23" spans="1:2" x14ac:dyDescent="0.35">
      <c r="A23" s="6" t="s">
        <v>37</v>
      </c>
      <c r="B23" s="5">
        <v>95</v>
      </c>
    </row>
    <row r="24" spans="1:2" x14ac:dyDescent="0.35">
      <c r="A24" s="6" t="s">
        <v>10</v>
      </c>
      <c r="B24" s="5">
        <v>155</v>
      </c>
    </row>
    <row r="25" spans="1:2" x14ac:dyDescent="0.35">
      <c r="A25" s="6" t="s">
        <v>24</v>
      </c>
      <c r="B25" s="5">
        <v>215</v>
      </c>
    </row>
    <row r="26" spans="1:2" x14ac:dyDescent="0.35">
      <c r="A26" s="4" t="s">
        <v>16</v>
      </c>
      <c r="B26" s="5">
        <v>225</v>
      </c>
    </row>
    <row r="27" spans="1:2" x14ac:dyDescent="0.35">
      <c r="A27" s="6" t="s">
        <v>19</v>
      </c>
      <c r="B27" s="5">
        <v>30</v>
      </c>
    </row>
    <row r="28" spans="1:2" x14ac:dyDescent="0.35">
      <c r="A28" s="6" t="s">
        <v>17</v>
      </c>
      <c r="B28" s="5">
        <v>140</v>
      </c>
    </row>
    <row r="29" spans="1:2" x14ac:dyDescent="0.35">
      <c r="A29" s="6" t="s">
        <v>22</v>
      </c>
      <c r="B29" s="5">
        <v>15</v>
      </c>
    </row>
    <row r="30" spans="1:2" x14ac:dyDescent="0.35">
      <c r="A30" s="6" t="s">
        <v>14</v>
      </c>
      <c r="B30" s="5">
        <v>20</v>
      </c>
    </row>
    <row r="31" spans="1:2" x14ac:dyDescent="0.35">
      <c r="A31" s="6" t="s">
        <v>47</v>
      </c>
      <c r="B31" s="5">
        <v>20</v>
      </c>
    </row>
    <row r="32" spans="1:2" x14ac:dyDescent="0.35">
      <c r="A32" s="4" t="s">
        <v>28</v>
      </c>
      <c r="B32" s="5">
        <v>327</v>
      </c>
    </row>
    <row r="33" spans="1:2" x14ac:dyDescent="0.35">
      <c r="A33" s="6" t="s">
        <v>42</v>
      </c>
      <c r="B33" s="5">
        <v>125</v>
      </c>
    </row>
    <row r="34" spans="1:2" x14ac:dyDescent="0.35">
      <c r="A34" s="6" t="s">
        <v>14</v>
      </c>
      <c r="B34" s="5">
        <v>120</v>
      </c>
    </row>
    <row r="35" spans="1:2" x14ac:dyDescent="0.35">
      <c r="A35" s="6" t="s">
        <v>37</v>
      </c>
      <c r="B35" s="5">
        <v>65</v>
      </c>
    </row>
    <row r="36" spans="1:2" x14ac:dyDescent="0.35">
      <c r="A36" s="6" t="s">
        <v>10</v>
      </c>
      <c r="B36" s="5">
        <v>17</v>
      </c>
    </row>
    <row r="37" spans="1:2" x14ac:dyDescent="0.35">
      <c r="A37" s="4" t="s">
        <v>55</v>
      </c>
      <c r="B37" s="5">
        <v>2180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A346C-4ACF-45FF-AF79-0860A11CD18F}">
  <dimension ref="A3:B15"/>
  <sheetViews>
    <sheetView workbookViewId="0">
      <selection activeCell="N10" sqref="N10"/>
    </sheetView>
  </sheetViews>
  <sheetFormatPr defaultRowHeight="14.5" x14ac:dyDescent="0.35"/>
  <cols>
    <col min="1" max="2" width="14.36328125" bestFit="1" customWidth="1"/>
  </cols>
  <sheetData>
    <row r="3" spans="1:2" x14ac:dyDescent="0.35">
      <c r="A3" s="3" t="s">
        <v>54</v>
      </c>
      <c r="B3" t="s">
        <v>65</v>
      </c>
    </row>
    <row r="4" spans="1:2" x14ac:dyDescent="0.35">
      <c r="A4" s="4" t="s">
        <v>42</v>
      </c>
      <c r="B4" s="5">
        <v>231</v>
      </c>
    </row>
    <row r="5" spans="1:2" x14ac:dyDescent="0.35">
      <c r="A5" s="4" t="s">
        <v>19</v>
      </c>
      <c r="B5" s="5">
        <v>252</v>
      </c>
    </row>
    <row r="6" spans="1:2" x14ac:dyDescent="0.35">
      <c r="A6" s="4" t="s">
        <v>17</v>
      </c>
      <c r="B6" s="5">
        <v>230</v>
      </c>
    </row>
    <row r="7" spans="1:2" x14ac:dyDescent="0.35">
      <c r="A7" s="4" t="s">
        <v>22</v>
      </c>
      <c r="B7" s="5">
        <v>140</v>
      </c>
    </row>
    <row r="8" spans="1:2" x14ac:dyDescent="0.35">
      <c r="A8" s="4" t="s">
        <v>14</v>
      </c>
      <c r="B8" s="5">
        <v>215</v>
      </c>
    </row>
    <row r="9" spans="1:2" x14ac:dyDescent="0.35">
      <c r="A9" s="4" t="s">
        <v>45</v>
      </c>
      <c r="B9" s="5">
        <v>25</v>
      </c>
    </row>
    <row r="10" spans="1:2" x14ac:dyDescent="0.35">
      <c r="A10" s="4" t="s">
        <v>30</v>
      </c>
      <c r="B10" s="5">
        <v>225</v>
      </c>
    </row>
    <row r="11" spans="1:2" x14ac:dyDescent="0.35">
      <c r="A11" s="4" t="s">
        <v>37</v>
      </c>
      <c r="B11" s="5">
        <v>280</v>
      </c>
    </row>
    <row r="12" spans="1:2" x14ac:dyDescent="0.35">
      <c r="A12" s="4" t="s">
        <v>10</v>
      </c>
      <c r="B12" s="5">
        <v>347</v>
      </c>
    </row>
    <row r="13" spans="1:2" x14ac:dyDescent="0.35">
      <c r="A13" s="4" t="s">
        <v>24</v>
      </c>
      <c r="B13" s="5">
        <v>215</v>
      </c>
    </row>
    <row r="14" spans="1:2" x14ac:dyDescent="0.35">
      <c r="A14" s="4" t="s">
        <v>47</v>
      </c>
      <c r="B14" s="5">
        <v>20</v>
      </c>
    </row>
    <row r="15" spans="1:2" x14ac:dyDescent="0.35">
      <c r="A15" s="4" t="s">
        <v>55</v>
      </c>
      <c r="B15" s="5">
        <v>2180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3232D-23BC-438F-9279-E2956E3658D5}">
  <dimension ref="A2:L32"/>
  <sheetViews>
    <sheetView workbookViewId="0">
      <selection activeCell="M7" sqref="M7"/>
    </sheetView>
  </sheetViews>
  <sheetFormatPr defaultRowHeight="14.5" x14ac:dyDescent="0.35"/>
  <cols>
    <col min="1" max="1" width="15" bestFit="1" customWidth="1"/>
    <col min="2" max="2" width="14.36328125" bestFit="1" customWidth="1"/>
  </cols>
  <sheetData>
    <row r="2" spans="1:12" x14ac:dyDescent="0.35">
      <c r="L2">
        <f>GETPIVOTDATA("Revenue",$A$3)</f>
        <v>2180</v>
      </c>
    </row>
    <row r="3" spans="1:12" x14ac:dyDescent="0.35">
      <c r="A3" s="3" t="s">
        <v>54</v>
      </c>
      <c r="B3" t="s">
        <v>65</v>
      </c>
    </row>
    <row r="4" spans="1:12" x14ac:dyDescent="0.35">
      <c r="A4" s="4" t="s">
        <v>39</v>
      </c>
      <c r="B4" s="5">
        <v>15</v>
      </c>
    </row>
    <row r="5" spans="1:12" x14ac:dyDescent="0.35">
      <c r="A5" s="4" t="s">
        <v>35</v>
      </c>
      <c r="B5" s="5">
        <v>125</v>
      </c>
    </row>
    <row r="6" spans="1:12" x14ac:dyDescent="0.35">
      <c r="A6" s="4" t="s">
        <v>8</v>
      </c>
      <c r="B6" s="5">
        <v>20</v>
      </c>
    </row>
    <row r="7" spans="1:12" x14ac:dyDescent="0.35">
      <c r="A7" s="4" t="s">
        <v>50</v>
      </c>
      <c r="B7" s="5">
        <v>80</v>
      </c>
    </row>
    <row r="8" spans="1:12" x14ac:dyDescent="0.35">
      <c r="A8" s="4" t="s">
        <v>21</v>
      </c>
      <c r="B8" s="5">
        <v>140</v>
      </c>
    </row>
    <row r="9" spans="1:12" x14ac:dyDescent="0.35">
      <c r="A9" s="4" t="s">
        <v>48</v>
      </c>
      <c r="B9" s="5">
        <v>40</v>
      </c>
    </row>
    <row r="10" spans="1:12" x14ac:dyDescent="0.35">
      <c r="A10" s="4" t="s">
        <v>31</v>
      </c>
      <c r="B10" s="5">
        <v>125</v>
      </c>
    </row>
    <row r="11" spans="1:12" x14ac:dyDescent="0.35">
      <c r="A11" s="4" t="s">
        <v>32</v>
      </c>
      <c r="B11" s="5">
        <v>190</v>
      </c>
    </row>
    <row r="12" spans="1:12" x14ac:dyDescent="0.35">
      <c r="A12" s="4" t="s">
        <v>36</v>
      </c>
      <c r="B12" s="5">
        <v>30</v>
      </c>
    </row>
    <row r="13" spans="1:12" x14ac:dyDescent="0.35">
      <c r="A13" s="4" t="s">
        <v>33</v>
      </c>
      <c r="B13" s="5">
        <v>30</v>
      </c>
    </row>
    <row r="14" spans="1:12" x14ac:dyDescent="0.35">
      <c r="A14" s="4" t="s">
        <v>34</v>
      </c>
      <c r="B14" s="5">
        <v>60</v>
      </c>
    </row>
    <row r="15" spans="1:12" x14ac:dyDescent="0.35">
      <c r="A15" s="4" t="s">
        <v>25</v>
      </c>
      <c r="B15" s="5">
        <v>175</v>
      </c>
    </row>
    <row r="16" spans="1:12" x14ac:dyDescent="0.35">
      <c r="A16" s="4" t="s">
        <v>18</v>
      </c>
      <c r="B16" s="5">
        <v>20</v>
      </c>
    </row>
    <row r="17" spans="1:2" x14ac:dyDescent="0.35">
      <c r="A17" s="4" t="s">
        <v>52</v>
      </c>
      <c r="B17" s="5">
        <v>125</v>
      </c>
    </row>
    <row r="18" spans="1:2" x14ac:dyDescent="0.35">
      <c r="A18" s="4" t="s">
        <v>27</v>
      </c>
      <c r="B18" s="5">
        <v>100</v>
      </c>
    </row>
    <row r="19" spans="1:2" x14ac:dyDescent="0.35">
      <c r="A19" s="4" t="s">
        <v>44</v>
      </c>
      <c r="B19" s="5">
        <v>25</v>
      </c>
    </row>
    <row r="20" spans="1:2" x14ac:dyDescent="0.35">
      <c r="A20" s="4" t="s">
        <v>51</v>
      </c>
      <c r="B20" s="5">
        <v>20</v>
      </c>
    </row>
    <row r="21" spans="1:2" x14ac:dyDescent="0.35">
      <c r="A21" s="4" t="s">
        <v>41</v>
      </c>
      <c r="B21" s="5">
        <v>65</v>
      </c>
    </row>
    <row r="22" spans="1:2" x14ac:dyDescent="0.35">
      <c r="A22" s="4" t="s">
        <v>40</v>
      </c>
      <c r="B22" s="5">
        <v>17</v>
      </c>
    </row>
    <row r="23" spans="1:2" x14ac:dyDescent="0.35">
      <c r="A23" s="4" t="s">
        <v>46</v>
      </c>
      <c r="B23" s="5">
        <v>50</v>
      </c>
    </row>
    <row r="24" spans="1:2" x14ac:dyDescent="0.35">
      <c r="A24" s="4" t="s">
        <v>49</v>
      </c>
      <c r="B24" s="5">
        <v>20</v>
      </c>
    </row>
    <row r="25" spans="1:2" x14ac:dyDescent="0.35">
      <c r="A25" s="4" t="s">
        <v>20</v>
      </c>
      <c r="B25" s="5">
        <v>5</v>
      </c>
    </row>
    <row r="26" spans="1:2" x14ac:dyDescent="0.35">
      <c r="A26" s="4" t="s">
        <v>43</v>
      </c>
      <c r="B26" s="5">
        <v>10</v>
      </c>
    </row>
    <row r="27" spans="1:2" x14ac:dyDescent="0.35">
      <c r="A27" s="4" t="s">
        <v>15</v>
      </c>
      <c r="B27" s="5">
        <v>453</v>
      </c>
    </row>
    <row r="28" spans="1:2" x14ac:dyDescent="0.35">
      <c r="A28" s="4" t="s">
        <v>38</v>
      </c>
      <c r="B28" s="5">
        <v>50</v>
      </c>
    </row>
    <row r="29" spans="1:2" x14ac:dyDescent="0.35">
      <c r="A29" s="4" t="s">
        <v>53</v>
      </c>
      <c r="B29" s="5">
        <v>25</v>
      </c>
    </row>
    <row r="30" spans="1:2" x14ac:dyDescent="0.35">
      <c r="A30" s="4" t="s">
        <v>12</v>
      </c>
      <c r="B30" s="5">
        <v>75</v>
      </c>
    </row>
    <row r="31" spans="1:2" x14ac:dyDescent="0.35">
      <c r="A31" s="4" t="s">
        <v>23</v>
      </c>
      <c r="B31" s="5">
        <v>90</v>
      </c>
    </row>
    <row r="32" spans="1:2" x14ac:dyDescent="0.35">
      <c r="A32" s="4" t="s">
        <v>55</v>
      </c>
      <c r="B32" s="5">
        <v>2180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82AE7-1681-436A-AAFF-D43D3DA0FFFA}">
  <dimension ref="A3:B6"/>
  <sheetViews>
    <sheetView workbookViewId="0">
      <selection activeCell="A4" sqref="A4:B4"/>
      <pivotSelection pane="bottomRight" showHeader="1" extendable="1" axis="axisRow" max="3" activeRow="3" previousRow="3" click="1" r:id="rId1">
        <pivotArea dataOnly="0" fieldPosition="0">
          <references count="1">
            <reference field="10" count="1">
              <x v="1"/>
            </reference>
          </references>
        </pivotArea>
      </pivotSelection>
    </sheetView>
  </sheetViews>
  <sheetFormatPr defaultRowHeight="14.5" x14ac:dyDescent="0.35"/>
  <cols>
    <col min="1" max="1" width="12.36328125" bestFit="1" customWidth="1"/>
    <col min="2" max="2" width="14.36328125" bestFit="1" customWidth="1"/>
  </cols>
  <sheetData>
    <row r="3" spans="1:2" x14ac:dyDescent="0.35">
      <c r="A3" s="3" t="s">
        <v>54</v>
      </c>
      <c r="B3" t="s">
        <v>65</v>
      </c>
    </row>
    <row r="4" spans="1:2" x14ac:dyDescent="0.35">
      <c r="A4" s="4" t="s">
        <v>66</v>
      </c>
      <c r="B4" s="5">
        <v>1740</v>
      </c>
    </row>
    <row r="5" spans="1:2" x14ac:dyDescent="0.35">
      <c r="A5" s="4" t="s">
        <v>67</v>
      </c>
      <c r="B5" s="5">
        <v>440</v>
      </c>
    </row>
    <row r="6" spans="1:2" x14ac:dyDescent="0.35">
      <c r="A6" s="4" t="s">
        <v>55</v>
      </c>
      <c r="B6" s="5">
        <v>2180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BB212-15E7-43CC-8291-551A9D69F0D4}">
  <dimension ref="A3:B10"/>
  <sheetViews>
    <sheetView workbookViewId="0">
      <selection activeCell="B4" sqref="B4"/>
    </sheetView>
  </sheetViews>
  <sheetFormatPr defaultRowHeight="14.5" x14ac:dyDescent="0.35"/>
  <cols>
    <col min="1" max="1" width="12.7265625" bestFit="1" customWidth="1"/>
    <col min="2" max="2" width="14.36328125" bestFit="1" customWidth="1"/>
  </cols>
  <sheetData>
    <row r="3" spans="1:2" x14ac:dyDescent="0.35">
      <c r="A3" s="3" t="s">
        <v>54</v>
      </c>
      <c r="B3" t="s">
        <v>65</v>
      </c>
    </row>
    <row r="4" spans="1:2" x14ac:dyDescent="0.35">
      <c r="A4" s="4" t="s">
        <v>13</v>
      </c>
      <c r="B4" s="5">
        <v>261</v>
      </c>
    </row>
    <row r="5" spans="1:2" x14ac:dyDescent="0.35">
      <c r="A5" s="4" t="s">
        <v>26</v>
      </c>
      <c r="B5" s="5">
        <v>447</v>
      </c>
    </row>
    <row r="6" spans="1:2" x14ac:dyDescent="0.35">
      <c r="A6" s="4" t="s">
        <v>29</v>
      </c>
      <c r="B6" s="5">
        <v>295</v>
      </c>
    </row>
    <row r="7" spans="1:2" x14ac:dyDescent="0.35">
      <c r="A7" s="4" t="s">
        <v>9</v>
      </c>
      <c r="B7" s="5">
        <v>625</v>
      </c>
    </row>
    <row r="8" spans="1:2" x14ac:dyDescent="0.35">
      <c r="A8" s="4" t="s">
        <v>16</v>
      </c>
      <c r="B8" s="5">
        <v>225</v>
      </c>
    </row>
    <row r="9" spans="1:2" x14ac:dyDescent="0.35">
      <c r="A9" s="4" t="s">
        <v>28</v>
      </c>
      <c r="B9" s="5">
        <v>327</v>
      </c>
    </row>
    <row r="10" spans="1:2" x14ac:dyDescent="0.35">
      <c r="A10" s="4" t="s">
        <v>55</v>
      </c>
      <c r="B10" s="5">
        <v>2180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733CB-D175-40D0-9738-C7E7BEC26FDF}">
  <dimension ref="A3:B37"/>
  <sheetViews>
    <sheetView workbookViewId="0">
      <selection activeCell="L11" sqref="L11"/>
    </sheetView>
  </sheetViews>
  <sheetFormatPr defaultRowHeight="14.5" x14ac:dyDescent="0.35"/>
  <cols>
    <col min="1" max="1" width="18.1796875" bestFit="1" customWidth="1"/>
    <col min="2" max="2" width="14.36328125" bestFit="1" customWidth="1"/>
  </cols>
  <sheetData>
    <row r="3" spans="1:2" x14ac:dyDescent="0.35">
      <c r="A3" s="3" t="s">
        <v>54</v>
      </c>
      <c r="B3" t="s">
        <v>65</v>
      </c>
    </row>
    <row r="4" spans="1:2" x14ac:dyDescent="0.35">
      <c r="A4" s="4" t="s">
        <v>13</v>
      </c>
      <c r="B4" s="5">
        <v>261</v>
      </c>
    </row>
    <row r="5" spans="1:2" x14ac:dyDescent="0.35">
      <c r="A5" s="6" t="s">
        <v>42</v>
      </c>
      <c r="B5" s="5">
        <v>106</v>
      </c>
    </row>
    <row r="6" spans="1:2" x14ac:dyDescent="0.35">
      <c r="A6" s="6" t="s">
        <v>19</v>
      </c>
      <c r="B6" s="5">
        <v>50</v>
      </c>
    </row>
    <row r="7" spans="1:2" x14ac:dyDescent="0.35">
      <c r="A7" s="6" t="s">
        <v>17</v>
      </c>
      <c r="B7" s="5">
        <v>30</v>
      </c>
    </row>
    <row r="8" spans="1:2" x14ac:dyDescent="0.35">
      <c r="A8" s="6" t="s">
        <v>14</v>
      </c>
      <c r="B8" s="5">
        <v>75</v>
      </c>
    </row>
    <row r="9" spans="1:2" x14ac:dyDescent="0.35">
      <c r="A9" s="4" t="s">
        <v>26</v>
      </c>
      <c r="B9" s="5">
        <v>447</v>
      </c>
    </row>
    <row r="10" spans="1:2" x14ac:dyDescent="0.35">
      <c r="A10" s="6" t="s">
        <v>19</v>
      </c>
      <c r="B10" s="5">
        <v>167</v>
      </c>
    </row>
    <row r="11" spans="1:2" x14ac:dyDescent="0.35">
      <c r="A11" s="6" t="s">
        <v>17</v>
      </c>
      <c r="B11" s="5">
        <v>25</v>
      </c>
    </row>
    <row r="12" spans="1:2" x14ac:dyDescent="0.35">
      <c r="A12" s="6" t="s">
        <v>37</v>
      </c>
      <c r="B12" s="5">
        <v>80</v>
      </c>
    </row>
    <row r="13" spans="1:2" x14ac:dyDescent="0.35">
      <c r="A13" s="6" t="s">
        <v>10</v>
      </c>
      <c r="B13" s="5">
        <v>175</v>
      </c>
    </row>
    <row r="14" spans="1:2" x14ac:dyDescent="0.35">
      <c r="A14" s="4" t="s">
        <v>29</v>
      </c>
      <c r="B14" s="5">
        <v>295</v>
      </c>
    </row>
    <row r="15" spans="1:2" x14ac:dyDescent="0.35">
      <c r="A15" s="6" t="s">
        <v>17</v>
      </c>
      <c r="B15" s="5">
        <v>30</v>
      </c>
    </row>
    <row r="16" spans="1:2" x14ac:dyDescent="0.35">
      <c r="A16" s="6" t="s">
        <v>30</v>
      </c>
      <c r="B16" s="5">
        <v>225</v>
      </c>
    </row>
    <row r="17" spans="1:2" x14ac:dyDescent="0.35">
      <c r="A17" s="6" t="s">
        <v>37</v>
      </c>
      <c r="B17" s="5">
        <v>40</v>
      </c>
    </row>
    <row r="18" spans="1:2" x14ac:dyDescent="0.35">
      <c r="A18" s="4" t="s">
        <v>9</v>
      </c>
      <c r="B18" s="5">
        <v>625</v>
      </c>
    </row>
    <row r="19" spans="1:2" x14ac:dyDescent="0.35">
      <c r="A19" s="6" t="s">
        <v>19</v>
      </c>
      <c r="B19" s="5">
        <v>5</v>
      </c>
    </row>
    <row r="20" spans="1:2" x14ac:dyDescent="0.35">
      <c r="A20" s="6" t="s">
        <v>17</v>
      </c>
      <c r="B20" s="5">
        <v>5</v>
      </c>
    </row>
    <row r="21" spans="1:2" x14ac:dyDescent="0.35">
      <c r="A21" s="6" t="s">
        <v>22</v>
      </c>
      <c r="B21" s="5">
        <v>125</v>
      </c>
    </row>
    <row r="22" spans="1:2" x14ac:dyDescent="0.35">
      <c r="A22" s="6" t="s">
        <v>45</v>
      </c>
      <c r="B22" s="5">
        <v>25</v>
      </c>
    </row>
    <row r="23" spans="1:2" x14ac:dyDescent="0.35">
      <c r="A23" s="6" t="s">
        <v>37</v>
      </c>
      <c r="B23" s="5">
        <v>95</v>
      </c>
    </row>
    <row r="24" spans="1:2" x14ac:dyDescent="0.35">
      <c r="A24" s="6" t="s">
        <v>10</v>
      </c>
      <c r="B24" s="5">
        <v>155</v>
      </c>
    </row>
    <row r="25" spans="1:2" x14ac:dyDescent="0.35">
      <c r="A25" s="6" t="s">
        <v>24</v>
      </c>
      <c r="B25" s="5">
        <v>215</v>
      </c>
    </row>
    <row r="26" spans="1:2" x14ac:dyDescent="0.35">
      <c r="A26" s="4" t="s">
        <v>16</v>
      </c>
      <c r="B26" s="5">
        <v>225</v>
      </c>
    </row>
    <row r="27" spans="1:2" x14ac:dyDescent="0.35">
      <c r="A27" s="6" t="s">
        <v>19</v>
      </c>
      <c r="B27" s="5">
        <v>30</v>
      </c>
    </row>
    <row r="28" spans="1:2" x14ac:dyDescent="0.35">
      <c r="A28" s="6" t="s">
        <v>17</v>
      </c>
      <c r="B28" s="5">
        <v>140</v>
      </c>
    </row>
    <row r="29" spans="1:2" x14ac:dyDescent="0.35">
      <c r="A29" s="6" t="s">
        <v>22</v>
      </c>
      <c r="B29" s="5">
        <v>15</v>
      </c>
    </row>
    <row r="30" spans="1:2" x14ac:dyDescent="0.35">
      <c r="A30" s="6" t="s">
        <v>14</v>
      </c>
      <c r="B30" s="5">
        <v>20</v>
      </c>
    </row>
    <row r="31" spans="1:2" x14ac:dyDescent="0.35">
      <c r="A31" s="6" t="s">
        <v>47</v>
      </c>
      <c r="B31" s="5">
        <v>20</v>
      </c>
    </row>
    <row r="32" spans="1:2" x14ac:dyDescent="0.35">
      <c r="A32" s="4" t="s">
        <v>28</v>
      </c>
      <c r="B32" s="5">
        <v>327</v>
      </c>
    </row>
    <row r="33" spans="1:2" x14ac:dyDescent="0.35">
      <c r="A33" s="6" t="s">
        <v>42</v>
      </c>
      <c r="B33" s="5">
        <v>125</v>
      </c>
    </row>
    <row r="34" spans="1:2" x14ac:dyDescent="0.35">
      <c r="A34" s="6" t="s">
        <v>14</v>
      </c>
      <c r="B34" s="5">
        <v>120</v>
      </c>
    </row>
    <row r="35" spans="1:2" x14ac:dyDescent="0.35">
      <c r="A35" s="6" t="s">
        <v>37</v>
      </c>
      <c r="B35" s="5">
        <v>65</v>
      </c>
    </row>
    <row r="36" spans="1:2" x14ac:dyDescent="0.35">
      <c r="A36" s="6" t="s">
        <v>10</v>
      </c>
      <c r="B36" s="5">
        <v>17</v>
      </c>
    </row>
    <row r="37" spans="1:2" x14ac:dyDescent="0.35">
      <c r="A37" s="4" t="s">
        <v>55</v>
      </c>
      <c r="B37" s="5">
        <v>2180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5073C-2596-4E87-A4DC-35A2C372AB90}">
  <dimension ref="F3"/>
  <sheetViews>
    <sheetView showGridLines="0" tabSelected="1" zoomScale="51" zoomScaleNormal="51" workbookViewId="0">
      <selection activeCell="AD3" sqref="AD3"/>
    </sheetView>
  </sheetViews>
  <sheetFormatPr defaultRowHeight="14.5" x14ac:dyDescent="0.35"/>
  <sheetData>
    <row r="3" spans="6:6" ht="29.5" x14ac:dyDescent="0.55000000000000004">
      <c r="F3"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Capstone messy_restaurant_data</vt:lpstr>
      <vt:lpstr>Sheet1</vt:lpstr>
      <vt:lpstr>Sheet2</vt:lpstr>
      <vt:lpstr>Sheet3</vt:lpstr>
      <vt:lpstr>Sheet4</vt:lpstr>
      <vt:lpstr>Insight1&amp;2</vt:lpstr>
      <vt:lpstr>Insight3</vt:lpstr>
      <vt:lpstr>Insight4</vt:lpstr>
      <vt:lpstr>Insight5</vt:lpstr>
      <vt:lpstr>Insight7</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2026-05-15T10:14:03Z</dcterms:created>
  <dcterms:modified xsi:type="dcterms:W3CDTF">2026-05-18T17:21:04Z</dcterms:modified>
</cp:coreProperties>
</file>